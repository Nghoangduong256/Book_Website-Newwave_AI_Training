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code-work\Newwave\BrSE_Training\AI_Training\Newwave_AI_Training\Project_ngan\01_Project_Management\"/>
    </mc:Choice>
  </mc:AlternateContent>
  <xr:revisionPtr revIDLastSave="0" documentId="13_ncr:1_{46EB2489-24E5-499A-9A6B-8430E4580813}" xr6:coauthVersionLast="47" xr6:coauthVersionMax="47" xr10:uidLastSave="{00000000-0000-0000-0000-000000000000}"/>
  <bookViews>
    <workbookView xWindow="-108" yWindow="-108" windowWidth="23256" windowHeight="12456" tabRatio="500" firstSheet="3" activeTab="5" xr2:uid="{00000000-000D-0000-FFFF-FFFF00000000}"/>
  </bookViews>
  <sheets>
    <sheet name="Cover" sheetId="1" r:id="rId1"/>
    <sheet name="Page Revision History" sheetId="2" r:id="rId2"/>
    <sheet name="0. Tasklist" sheetId="3" r:id="rId3"/>
    <sheet name="1. Project Information" sheetId="4" r:id="rId4"/>
    <sheet name="2. Role &amp; Team" sheetId="5" r:id="rId5"/>
    <sheet name="3.Configuration Plan" sheetId="6" r:id="rId6"/>
    <sheet name="4. Communication Plan &amp; Tools" sheetId="7" r:id="rId7"/>
    <sheet name="5. Standard Metric" sheetId="8" r:id="rId8"/>
    <sheet name="6. Other plan" sheetId="9" r:id="rId9"/>
    <sheet name="Master" sheetId="10" r:id="rId10"/>
  </sheets>
  <definedNames>
    <definedName name="_xlnm.Print_Area" localSheetId="2">'0. Tasklist'!$A$1:$H$13</definedName>
    <definedName name="_xlnm.Print_Area" localSheetId="3">'1. Project Information'!$A$1:$G$93</definedName>
    <definedName name="_xlnm.Print_Area" localSheetId="4">'2. Role &amp; Team'!$A$1:$K$45</definedName>
    <definedName name="_xlnm.Print_Area" localSheetId="5">'3.Configuration Plan'!$A$1:$H$116</definedName>
    <definedName name="_xlnm.Print_Area" localSheetId="6">'4. Communication Plan &amp; Tools'!$A$1:$H$46</definedName>
    <definedName name="_xlnm.Print_Area" localSheetId="7">'5. Standard Metric'!$A$1:$I$43</definedName>
    <definedName name="_xlnm.Print_Area" localSheetId="8">'6. Other plan'!$A$1:$I$16</definedName>
    <definedName name="範囲１">#REF!</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1" i="6" l="1"/>
  <c r="B20" i="6"/>
  <c r="B19" i="6"/>
  <c r="B18" i="6"/>
  <c r="B17" i="6"/>
  <c r="B16" i="6"/>
  <c r="B15" i="6"/>
  <c r="B14" i="6"/>
  <c r="B13" i="6"/>
  <c r="B12" i="6"/>
  <c r="B11" i="6"/>
  <c r="B10" i="6"/>
  <c r="B8" i="6"/>
  <c r="B7" i="6"/>
  <c r="G3" i="3"/>
  <c r="H3" i="9" s="1"/>
  <c r="G2" i="3"/>
  <c r="G2" i="6" s="1"/>
  <c r="G1" i="3"/>
  <c r="H1" i="7" s="1"/>
  <c r="G1" i="6" l="1"/>
  <c r="F1" i="4"/>
  <c r="G3" i="6"/>
  <c r="H2" i="7"/>
  <c r="H3" i="7"/>
  <c r="H1" i="8"/>
  <c r="J3" i="5"/>
  <c r="F2" i="4"/>
  <c r="F3" i="4"/>
  <c r="J1" i="5"/>
  <c r="H2" i="8"/>
  <c r="H3" i="8"/>
  <c r="H1" i="9"/>
  <c r="J2" i="5"/>
  <c r="H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tc={00C38DBB-4A2A-41F2-87F9-55BB8FF0EEAD}</author>
  </authors>
  <commentList>
    <comment ref="L1" authorId="0" shapeId="0" xr:uid="{00000000-0006-0000-0100-000001000000}">
      <text>
        <r>
          <rPr>
            <sz val="10"/>
            <rFont val="Calibri"/>
            <family val="2"/>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@Phạm Ngọc Khánh-BU3  sửa lại mã số biểu mẫu
Reply:
    @Đào Thị Yến  đã sửa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1" authorId="0" shapeId="0" xr:uid="{00000000-0006-0000-0200-000001000000}">
      <text>
        <r>
          <rPr>
            <sz val="10"/>
            <rFont val="Calibri"/>
            <family val="2"/>
          </rPr>
          <t xml:space="preserve">admin:
</t>
        </r>
        <r>
          <rPr>
            <sz val="9"/>
            <color rgb="FF000000"/>
            <rFont val="Tahoma"/>
            <family val="2"/>
            <charset val="1"/>
          </rPr>
          <t>Size: 20</t>
        </r>
      </text>
    </comment>
    <comment ref="G1" authorId="0" shapeId="0" xr:uid="{00000000-0006-0000-0200-000002000000}">
      <text>
        <r>
          <rPr>
            <sz val="10"/>
            <rFont val="Calibri"/>
            <family val="2"/>
          </rPr>
          <t xml:space="preserve">admin:
</t>
        </r>
        <r>
          <rPr>
            <sz val="9"/>
            <color rgb="FF000000"/>
            <rFont val="Tahoma"/>
            <family val="2"/>
            <charset val="1"/>
          </rPr>
          <t>Size 12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author>
    <author>tc={6485C7D7-7877-4231-97F1-5D28F17844A4}</author>
  </authors>
  <commentList>
    <comment ref="D1" authorId="0" shapeId="0" xr:uid="{00000000-0006-0000-0300-000002000000}">
      <text>
        <r>
          <rPr>
            <sz val="10"/>
            <rFont val="Calibri"/>
            <family val="2"/>
          </rPr>
          <t xml:space="preserve">admin:
</t>
        </r>
        <r>
          <rPr>
            <sz val="9"/>
            <color rgb="FF000000"/>
            <rFont val="Tahoma"/>
            <family val="2"/>
            <charset val="1"/>
          </rPr>
          <t>Size: 20</t>
        </r>
      </text>
    </comment>
    <comment ref="F1" authorId="0" shapeId="0" xr:uid="{00000000-0006-0000-0300-000003000000}">
      <text>
        <r>
          <rPr>
            <sz val="10"/>
            <rFont val="Calibri"/>
            <family val="2"/>
          </rPr>
          <t xml:space="preserve">admin:
</t>
        </r>
        <r>
          <rPr>
            <sz val="9"/>
            <color rgb="FF000000"/>
            <rFont val="Tahoma"/>
            <family val="2"/>
            <charset val="1"/>
          </rPr>
          <t>Size 12</t>
        </r>
      </text>
    </comment>
    <comment ref="B105" authorId="1" shapeId="0" xr:uid="{00000000-0006-0000-0300-000001000000}">
      <text>
        <r>
          <rPr>
            <sz val="10"/>
            <rFont val="Calibri"/>
            <family val="2"/>
          </rPr>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@Phạm Ngọc Khánh-BU3  lấy 2 thông tin yêu cầu bảo mật và dữ liệu cá nhân vào file này
Reply:
    @Đào Thị Yến  đã thêm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author>
    <author>TrungNT</author>
  </authors>
  <commentList>
    <comment ref="D1" authorId="0" shapeId="0" xr:uid="{00000000-0006-0000-0400-000002000000}">
      <text>
        <r>
          <rPr>
            <sz val="10"/>
            <rFont val="Calibri"/>
            <family val="2"/>
          </rPr>
          <t xml:space="preserve">admin:
</t>
        </r>
        <r>
          <rPr>
            <sz val="9"/>
            <color rgb="FF000000"/>
            <rFont val="Tahoma"/>
            <family val="2"/>
            <charset val="1"/>
          </rPr>
          <t>Size: 20</t>
        </r>
      </text>
    </comment>
    <comment ref="J1" authorId="0" shapeId="0" xr:uid="{00000000-0006-0000-0400-000003000000}">
      <text>
        <r>
          <rPr>
            <sz val="10"/>
            <rFont val="Calibri"/>
            <family val="2"/>
          </rPr>
          <t xml:space="preserve">admin:
</t>
        </r>
        <r>
          <rPr>
            <sz val="9"/>
            <color rgb="FF000000"/>
            <rFont val="Tahoma"/>
            <family val="2"/>
            <charset val="1"/>
          </rPr>
          <t>Size 12</t>
        </r>
      </text>
    </comment>
    <comment ref="C21" authorId="1" shapeId="0" xr:uid="{00000000-0006-0000-0400-000001000000}">
      <text>
        <r>
          <rPr>
            <sz val="10"/>
            <rFont val="Calibri"/>
            <family val="2"/>
          </rPr>
          <t>TrungNT:</t>
        </r>
        <r>
          <rPr>
            <sz val="9"/>
            <color rgb="FF000000"/>
            <rFont val="Tahoma"/>
            <family val="2"/>
            <charset val="1"/>
          </rPr>
          <t xml:space="preserve"> 
RACI 
R: Responsible (Does the work)
A: Accountable (Final approval)
C: Consulted (Provides input)
I: Informed (Kept updated)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tc={9B9A94CA-1D22-45FB-B5E4-D0BEBF45B854}</author>
  </authors>
  <commentList>
    <comment ref="D1" authorId="0" shapeId="0" xr:uid="{00000000-0006-0000-0500-000002000000}">
      <text>
        <r>
          <rPr>
            <sz val="10"/>
            <rFont val="Calibri"/>
            <family val="2"/>
          </rPr>
          <t xml:space="preserve">admin:
</t>
        </r>
        <r>
          <rPr>
            <sz val="9"/>
            <color rgb="FF000000"/>
            <rFont val="Tahoma"/>
            <family val="2"/>
            <charset val="1"/>
          </rPr>
          <t>Size: 20</t>
        </r>
      </text>
    </comment>
    <comment ref="G1" authorId="0" shapeId="0" xr:uid="{00000000-0006-0000-0500-000003000000}">
      <text>
        <r>
          <rPr>
            <sz val="10"/>
            <rFont val="Calibri"/>
            <family val="2"/>
          </rPr>
          <t xml:space="preserve">admin:
</t>
        </r>
        <r>
          <rPr>
            <sz val="9"/>
            <color rgb="FF000000"/>
            <rFont val="Tahoma"/>
            <family val="2"/>
            <charset val="1"/>
          </rPr>
          <t>Size 12</t>
        </r>
      </text>
    </comment>
    <comment ref="C8" authorId="1" shapeId="0" xr:uid="{00000000-0006-0000-0500-000001000000}">
      <text>
        <r>
          <rPr>
            <sz val="10"/>
            <rFont val="Calibri"/>
            <family val="2"/>
          </rPr>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@Phạm Ngọc Khánh-BU3 thêm phần tách riêng nội dung folder thông tin dự án, báo giá =&gt; đảm bảo bảo mật
Reply:
    @Đào Thị Yến  đã đối ứng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author>
    <author>tc={CB98DDDD-51CD-4B51-A65B-DC999554D0AA}</author>
    <author>tc={753C2FD7-C4F6-4E0E-B38E-3D1008BA827E}</author>
  </authors>
  <commentList>
    <comment ref="D1" authorId="0" shapeId="0" xr:uid="{00000000-0006-0000-0600-000003000000}">
      <text>
        <r>
          <rPr>
            <sz val="10"/>
            <rFont val="Calibri"/>
            <family val="2"/>
          </rPr>
          <t xml:space="preserve">admin:
</t>
        </r>
        <r>
          <rPr>
            <sz val="9"/>
            <color rgb="FF000000"/>
            <rFont val="Tahoma"/>
            <family val="2"/>
            <charset val="1"/>
          </rPr>
          <t>Size: 20</t>
        </r>
      </text>
    </comment>
    <comment ref="G1" authorId="0" shapeId="0" xr:uid="{00000000-0006-0000-0600-000004000000}">
      <text>
        <r>
          <rPr>
            <sz val="10"/>
            <rFont val="Calibri"/>
            <family val="2"/>
          </rPr>
          <t xml:space="preserve">admin:
</t>
        </r>
        <r>
          <rPr>
            <sz val="9"/>
            <color rgb="FF000000"/>
            <rFont val="Tahoma"/>
            <family val="2"/>
            <charset val="1"/>
          </rPr>
          <t>Size 12</t>
        </r>
      </text>
    </comment>
    <comment ref="H1" authorId="0" shapeId="0" xr:uid="{00000000-0006-0000-0600-000005000000}">
      <text>
        <r>
          <rPr>
            <sz val="10"/>
            <rFont val="Calibri"/>
            <family val="2"/>
          </rPr>
          <t xml:space="preserve">admin:
</t>
        </r>
        <r>
          <rPr>
            <sz val="9"/>
            <color rgb="FF000000"/>
            <rFont val="Tahoma"/>
            <family val="2"/>
            <charset val="1"/>
          </rPr>
          <t>Size 12</t>
        </r>
      </text>
    </comment>
    <comment ref="C33" authorId="1" shapeId="0" xr:uid="{00000000-0006-0000-0600-000001000000}">
      <text>
        <r>
          <rPr>
            <sz val="10"/>
            <rFont val="Calibri"/>
            <family val="2"/>
          </rPr>
          <t>[Threaded comment]
Your version of Excel allows you to read this threaded comment; however, any edits to it will get removed if the file is opened in a newer version of Excel. Learn more: https://go.microsoft.com/fwlink/?linkid=870924
Comment:
    bổ sung sample</t>
        </r>
      </text>
    </comment>
    <comment ref="C41" authorId="2" shapeId="0" xr:uid="{00000000-0006-0000-0600-000002000000}">
      <text>
        <r>
          <rPr>
            <sz val="10"/>
            <rFont val="Calibri"/>
            <family val="2"/>
          </rPr>
          <t>[Threaded comment]
Your version of Excel allows you to read this threaded comment; however, any edits to it will get removed if the file is opened in a newer version of Excel. Learn more: https://go.microsoft.com/fwlink/?linkid=870924
Comment:
    bổ sung sample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author>
    <author>tc={B92AC631-7D2F-4271-B38F-76DD855B09F1}</author>
  </authors>
  <commentList>
    <comment ref="D1" authorId="0" shapeId="0" xr:uid="{00000000-0006-0000-0700-000002000000}">
      <text>
        <r>
          <rPr>
            <sz val="10"/>
            <rFont val="Calibri"/>
            <family val="2"/>
          </rPr>
          <t xml:space="preserve">admin:
</t>
        </r>
        <r>
          <rPr>
            <sz val="9"/>
            <color rgb="FF000000"/>
            <rFont val="Tahoma"/>
            <family val="2"/>
            <charset val="1"/>
          </rPr>
          <t>Size: 20</t>
        </r>
      </text>
    </comment>
    <comment ref="H1" authorId="0" shapeId="0" xr:uid="{00000000-0006-0000-0700-000003000000}">
      <text>
        <r>
          <rPr>
            <sz val="10"/>
            <rFont val="Calibri"/>
            <family val="2"/>
          </rPr>
          <t xml:space="preserve">admin:
</t>
        </r>
        <r>
          <rPr>
            <sz val="9"/>
            <color rgb="FF000000"/>
            <rFont val="Tahoma"/>
            <family val="2"/>
            <charset val="1"/>
          </rPr>
          <t>Size 12</t>
        </r>
      </text>
    </comment>
    <comment ref="C8" authorId="1" shapeId="0" xr:uid="{00000000-0006-0000-0700-000001000000}">
      <text>
        <r>
          <rPr>
            <sz val="10"/>
            <rFont val="Calibri"/>
            <family val="2"/>
          </rPr>
          <t>[Threaded comment]
Your version of Excel allows you to read this threaded comment; however, any edits to it will get removed if the file is opened in a newer version of Excel. Learn more: https://go.microsoft.com/fwlink/?linkid=870924
Comment:
    cần range norm, tần suất, cách thức đo lường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D1" authorId="0" shapeId="0" xr:uid="{00000000-0006-0000-0800-000001000000}">
      <text>
        <r>
          <rPr>
            <sz val="10"/>
            <rFont val="Calibri"/>
            <family val="2"/>
          </rPr>
          <t xml:space="preserve">admin:
</t>
        </r>
        <r>
          <rPr>
            <sz val="9"/>
            <color rgb="FF000000"/>
            <rFont val="Tahoma"/>
            <family val="2"/>
            <charset val="1"/>
          </rPr>
          <t>Size: 20</t>
        </r>
      </text>
    </comment>
    <comment ref="H1" authorId="0" shapeId="0" xr:uid="{00000000-0006-0000-0800-000002000000}">
      <text>
        <r>
          <rPr>
            <sz val="10"/>
            <rFont val="Calibri"/>
            <family val="2"/>
          </rPr>
          <t xml:space="preserve">admin:
</t>
        </r>
        <r>
          <rPr>
            <sz val="9"/>
            <color rgb="FF000000"/>
            <rFont val="Tahoma"/>
            <family val="2"/>
            <charset val="1"/>
          </rPr>
          <t>Size 12</t>
        </r>
      </text>
    </comment>
  </commentList>
</comments>
</file>

<file path=xl/sharedStrings.xml><?xml version="1.0" encoding="utf-8"?>
<sst xmlns="http://schemas.openxmlformats.org/spreadsheetml/2006/main" count="1043" uniqueCount="582">
  <si>
    <t>Cover</t>
  </si>
  <si>
    <t>#003e83</t>
  </si>
  <si>
    <t>#0085f0</t>
  </si>
  <si>
    <t>#2cdcff</t>
  </si>
  <si>
    <t>Project Management Plan</t>
  </si>
  <si>
    <t>Projec Code</t>
  </si>
  <si>
    <t>System ID</t>
  </si>
  <si>
    <t>Project Name</t>
  </si>
  <si>
    <t>System Name</t>
  </si>
  <si>
    <t>Project Manager</t>
  </si>
  <si>
    <t>Updated Date</t>
  </si>
  <si>
    <t>PM</t>
  </si>
  <si>
    <t>BU Review</t>
  </si>
  <si>
    <t>Sale review</t>
  </si>
  <si>
    <t>Approve</t>
  </si>
  <si>
    <t>Name</t>
  </si>
  <si>
    <t>Role</t>
  </si>
  <si>
    <t>Date</t>
  </si>
  <si>
    <t>REVISION HISTORY</t>
  </si>
  <si>
    <t>Mã số: BM03-QT-OP-01</t>
  </si>
  <si>
    <t>Ngày hiệu lực: 10/09/2025</t>
  </si>
  <si>
    <t>Lần ban hành: 02</t>
  </si>
  <si>
    <t xml:space="preserve"> </t>
  </si>
  <si>
    <t>#</t>
  </si>
  <si>
    <t>Last Edited Date</t>
  </si>
  <si>
    <t>Change Details</t>
  </si>
  <si>
    <t>Reason</t>
  </si>
  <si>
    <t>Version</t>
  </si>
  <si>
    <t>Creator by</t>
  </si>
  <si>
    <t>Approver by</t>
  </si>
  <si>
    <t>Remark</t>
  </si>
  <si>
    <t>Tạo mới</t>
  </si>
  <si>
    <t>1.0</t>
  </si>
  <si>
    <t>Project Plan Task List</t>
  </si>
  <si>
    <t>No</t>
  </si>
  <si>
    <t>Task</t>
  </si>
  <si>
    <t>PIC</t>
  </si>
  <si>
    <t>Purpose</t>
  </si>
  <si>
    <t>Note</t>
  </si>
  <si>
    <t>Status</t>
  </si>
  <si>
    <t>1. Project Information</t>
  </si>
  <si>
    <t>1. Project Information
2. Project Scope
3. Project deliverales
4. Project milestone</t>
  </si>
  <si>
    <t>Open</t>
  </si>
  <si>
    <t>2. Role &amp; Team</t>
  </si>
  <si>
    <t>1. Project Roles
2. Responsibility Matrix (RACI Matrix)
3. Team</t>
  </si>
  <si>
    <t>3.Configuration Plan</t>
  </si>
  <si>
    <t>1. Folder Configuration/Folder Structure
2. File/Document Configuration
3. Source Code Management
4. Environement Control
5. Other Configuration</t>
  </si>
  <si>
    <t>4. Communication Plan &amp; Tools</t>
  </si>
  <si>
    <t>1. Meeting Plan
2. Communication plan
3. Comunication Tools
4. Development Tools</t>
  </si>
  <si>
    <t>5. Standard Metric</t>
  </si>
  <si>
    <t>1. Standard metric
2. Quality metric by Stage
3. Quality Assurance Strategic
3. Non-functional requirements ensuring criteria</t>
  </si>
  <si>
    <t>6. Other Plan</t>
  </si>
  <si>
    <t>1. Change Management 
2. Risk Management​
3. Resource Allocation Plan</t>
  </si>
  <si>
    <t>Chủ yếu refer các tài liệu khác</t>
  </si>
  <si>
    <t>Project Information</t>
  </si>
  <si>
    <t>Project Code</t>
  </si>
  <si>
    <t>Project Customer</t>
  </si>
  <si>
    <t>Customer Code</t>
  </si>
  <si>
    <t>Customer Name</t>
  </si>
  <si>
    <t>Project Type</t>
  </si>
  <si>
    <t>Contract Type</t>
  </si>
  <si>
    <t>Fixed Price</t>
  </si>
  <si>
    <t>New Development</t>
  </si>
  <si>
    <t>Project Period</t>
  </si>
  <si>
    <t>Start Date</t>
  </si>
  <si>
    <t>YYYY-MM-DD</t>
  </si>
  <si>
    <t>End Date</t>
  </si>
  <si>
    <t>Project Effort (Man month)</t>
  </si>
  <si>
    <t>Budgeted Plan</t>
  </si>
  <si>
    <t xml:space="preserve">Plan Effort </t>
  </si>
  <si>
    <t>Project Overview</t>
  </si>
  <si>
    <t>Project Situation</t>
  </si>
  <si>
    <t>Project Product</t>
  </si>
  <si>
    <t>Project's Acceptance Criteria</t>
  </si>
  <si>
    <t>Criteria</t>
  </si>
  <si>
    <t>Description</t>
  </si>
  <si>
    <t>Acceptance Criteria</t>
  </si>
  <si>
    <t>2. Project Scope</t>
  </si>
  <si>
    <t>2.1. Project Stage</t>
  </si>
  <si>
    <t>Stage</t>
  </si>
  <si>
    <t>Customer</t>
  </si>
  <si>
    <t>Internal</t>
  </si>
  <si>
    <t>Requirement Gathering</t>
  </si>
  <si>
    <t>Yes</t>
  </si>
  <si>
    <t>System Analysis</t>
  </si>
  <si>
    <t>UI/UX Design</t>
  </si>
  <si>
    <t>Architecture Design</t>
  </si>
  <si>
    <t>Detail Design</t>
  </si>
  <si>
    <t>Coding</t>
  </si>
  <si>
    <t>Testing</t>
  </si>
  <si>
    <t>Deployment</t>
  </si>
  <si>
    <t>Maintenance</t>
  </si>
  <si>
    <t>2.2. Project Environment</t>
  </si>
  <si>
    <t>Environment</t>
  </si>
  <si>
    <t>Yes/No</t>
  </si>
  <si>
    <t>Development Environment</t>
  </si>
  <si>
    <t>Testing Environment</t>
  </si>
  <si>
    <t>Staging Environment</t>
  </si>
  <si>
    <t>Production Environment</t>
  </si>
  <si>
    <t>2.3. Project Technologies</t>
  </si>
  <si>
    <t>Component</t>
  </si>
  <si>
    <t>3. Project deliverales</t>
  </si>
  <si>
    <t>Deliverables</t>
  </si>
  <si>
    <t>Deliverables' Acceptance Criteria</t>
  </si>
  <si>
    <t>Done</t>
  </si>
  <si>
    <t>4. Project milestone</t>
  </si>
  <si>
    <t>Milestone</t>
  </si>
  <si>
    <t>Plan schedule</t>
  </si>
  <si>
    <t>Actual schedule</t>
  </si>
  <si>
    <t>[YYYY-MM-DD]-[YYYY-MM-DD]</t>
  </si>
  <si>
    <t>4. Project Review Plan/Retro Meeting Plan</t>
  </si>
  <si>
    <t>Review Milestone</t>
  </si>
  <si>
    <t xml:space="preserve">  </t>
  </si>
  <si>
    <t>5. Yêu cầu bảo mật</t>
  </si>
  <si>
    <t>Xác thực người dùng</t>
  </si>
  <si>
    <t>Hệ thống phải đảm bảo xác thực người dùng bằng mật khẩu mạnh, OTP hoặc MFA.</t>
  </si>
  <si>
    <t>Phân quyền truy cập</t>
  </si>
  <si>
    <t>Chỉ người dùng có vai trò phù hợp mới được phép truy cập vào dữ liệu nhạy cảm.</t>
  </si>
  <si>
    <t>Mã hóa dữ liệu</t>
  </si>
  <si>
    <t>Dữ liệu phải được mã hóa khi lưu trữ (AES-256) và truyền tải (TLS 1.2+).</t>
  </si>
  <si>
    <t>Ghi nhật ký (Audit log)</t>
  </si>
  <si>
    <t>Ghi lại các hành động quan trọng: đăng nhập, sửa/xóa dữ liệu, phân quyền,...</t>
  </si>
  <si>
    <t>Quản lý lỗ hổng</t>
  </si>
  <si>
    <t>Thường xuyên rà soát, đánh giá và cập nhật các bản vá bảo mật kịp thời.</t>
  </si>
  <si>
    <t>6. Yêu cầu bảo vệ dữ liệu cá nhân</t>
  </si>
  <si>
    <t>Dự án có triển khai nội dung liên quan đến việc xử lý dữ liệu cá nhân thì điền vào table bên dưới</t>
  </si>
  <si>
    <t>Thu thập tối thiểu (Data Minimization)</t>
  </si>
  <si>
    <t>Chỉ thu thập những thông tin cần thiết cho mục đích đã xác định, không dư thừa.</t>
  </si>
  <si>
    <t>Mã hóa dữ liệu cá nhân</t>
  </si>
  <si>
    <t>Dữ liệu như tên, số điện thoại, CCCD, địa chỉ,… phải được mã hóa hoặc làm ẩn danh (anonymization).</t>
  </si>
  <si>
    <t>Chính sách lưu trữ &amp; xóa dữ liệu</t>
  </si>
  <si>
    <t>Thiết lập thời gian lưu trữ hợp lý, có cơ chế tự động xóa hoặc yêu cầu xóa theo yêu cầu người dùng.</t>
  </si>
  <si>
    <t>Giao diện quản lý quyền riêng tư</t>
  </si>
  <si>
    <t>Cho phép người dùng truy cập, chỉnh sửa, hoặc yêu cầu xóa dữ liệu của họ theo luật định.</t>
  </si>
  <si>
    <t>Tuân thủ pháp lý</t>
  </si>
  <si>
    <t xml:space="preserve">	Hệ thống cần tuân thủ các quy định như: GDPR, Nghị định 13/2023/NĐ-CP (VN),...</t>
  </si>
  <si>
    <t>All</t>
  </si>
  <si>
    <t>Role &amp; Team</t>
  </si>
  <si>
    <t>1. Project Roles</t>
  </si>
  <si>
    <t>Abbreviation</t>
  </si>
  <si>
    <t>Type</t>
  </si>
  <si>
    <t>Responsibility Description</t>
  </si>
  <si>
    <t>[Fill responibilities of this role]</t>
  </si>
  <si>
    <t>Solution Architecturer</t>
  </si>
  <si>
    <t>SA</t>
  </si>
  <si>
    <t>Technical Leader</t>
  </si>
  <si>
    <t>TL</t>
  </si>
  <si>
    <t>Developer</t>
  </si>
  <si>
    <t>DEV</t>
  </si>
  <si>
    <t>Tester</t>
  </si>
  <si>
    <t>TEST</t>
  </si>
  <si>
    <t>Designer</t>
  </si>
  <si>
    <t>DESIGNER</t>
  </si>
  <si>
    <t>Comtor</t>
  </si>
  <si>
    <t>COMTOR</t>
  </si>
  <si>
    <t>CUSTOMER</t>
  </si>
  <si>
    <t>External</t>
  </si>
  <si>
    <t>2. Responsibility Matrix (RACI Matrix)</t>
  </si>
  <si>
    <t>Task/Activity</t>
  </si>
  <si>
    <t>A</t>
  </si>
  <si>
    <t>R</t>
  </si>
  <si>
    <t>C</t>
  </si>
  <si>
    <t>I</t>
  </si>
  <si>
    <t>Test Case</t>
  </si>
  <si>
    <t>3. Team</t>
  </si>
  <si>
    <t>Email</t>
  </si>
  <si>
    <t>Joined Date</t>
  </si>
  <si>
    <t>Released Date</t>
  </si>
  <si>
    <t>Phone</t>
  </si>
  <si>
    <t>Nguyễn Văn A1</t>
  </si>
  <si>
    <t>Nguyễn Văn A2</t>
  </si>
  <si>
    <t>Nguyễn Văn A3</t>
  </si>
  <si>
    <t>Nguyễn Văn A4</t>
  </si>
  <si>
    <t>Nguyễn Văn A5</t>
  </si>
  <si>
    <t>Nguyễn Văn A6</t>
  </si>
  <si>
    <t>Nguyễn Văn A7</t>
  </si>
  <si>
    <t>Nguyễn Văn A8</t>
  </si>
  <si>
    <t>Nguyễn Văn A9</t>
  </si>
  <si>
    <t>Nguyễn Văn A10</t>
  </si>
  <si>
    <t>Configuration Plan</t>
  </si>
  <si>
    <t xml:space="preserve">   </t>
  </si>
  <si>
    <t>Folder</t>
  </si>
  <si>
    <t>Location</t>
  </si>
  <si>
    <t>Access Permission</t>
  </si>
  <si>
    <t>Location Type
(Teams/NextCloud/ … )</t>
  </si>
  <si>
    <t>Link</t>
  </si>
  <si>
    <t>Teams</t>
  </si>
  <si>
    <t>01_Project_Planning</t>
  </si>
  <si>
    <t>(Project Open, Contract, Estimation)
BM01, BM02</t>
  </si>
  <si>
    <t>Read: All members
Write/Modify: PM, TL
Delete: PM</t>
  </si>
  <si>
    <r>
      <rPr>
        <i/>
        <sz val="12"/>
        <color theme="1"/>
        <rFont val="Calibri"/>
        <family val="2"/>
        <charset val="1"/>
      </rPr>
      <t>02_Requirements</t>
    </r>
    <r>
      <rPr>
        <sz val="12"/>
        <color theme="1"/>
        <rFont val="Calibri"/>
        <family val="2"/>
        <charset val="1"/>
      </rPr>
      <t xml:space="preserve"> </t>
    </r>
  </si>
  <si>
    <r>
      <rPr>
        <i/>
        <sz val="12"/>
        <color rgb="FF000000"/>
        <rFont val="Calibri"/>
        <family val="2"/>
        <charset val="1"/>
      </rPr>
      <t xml:space="preserve">(Business and technical requirements, change requests)
BM06, BM13, BM14, BM15, </t>
    </r>
    <r>
      <rPr>
        <i/>
        <sz val="12"/>
        <color rgb="FFFF0000"/>
        <rFont val="Calibri"/>
        <family val="2"/>
        <charset val="1"/>
      </rPr>
      <t>BM34</t>
    </r>
  </si>
  <si>
    <t xml:space="preserve">/[ProjectCode]/02_Requirements </t>
  </si>
  <si>
    <r>
      <rPr>
        <i/>
        <sz val="12"/>
        <color theme="1"/>
        <rFont val="Calibri"/>
        <family val="2"/>
        <charset val="1"/>
      </rPr>
      <t>03_Design</t>
    </r>
    <r>
      <rPr>
        <sz val="12"/>
        <color theme="1"/>
        <rFont val="Calibri"/>
        <family val="2"/>
        <charset val="1"/>
      </rPr>
      <t xml:space="preserve"> </t>
    </r>
  </si>
  <si>
    <t>(Wireframes, architecture diagrams, UI/UX design, detail design)
BM18, BM19, BM20, BM21, BM22, BM23</t>
  </si>
  <si>
    <t xml:space="preserve">/[ProjectCode]/03_Design </t>
  </si>
  <si>
    <t>Read: All members
Write/Modify: PM, TL, Designer
Delete: PM</t>
  </si>
  <si>
    <r>
      <rPr>
        <i/>
        <sz val="12"/>
        <color theme="1"/>
        <rFont val="Calibri"/>
        <family val="2"/>
        <charset val="1"/>
      </rPr>
      <t>04_Development</t>
    </r>
    <r>
      <rPr>
        <sz val="12"/>
        <color theme="1"/>
        <rFont val="Calibri"/>
        <family val="2"/>
        <charset val="1"/>
      </rPr>
      <t xml:space="preserve"> </t>
    </r>
  </si>
  <si>
    <t>(Source code, scripts, database schemas)
BM24</t>
  </si>
  <si>
    <t xml:space="preserve">/[ProjectCode]/04_Development </t>
  </si>
  <si>
    <t>Read: All members
Write/Modify: PM, TL, Developer
Delete: PM</t>
  </si>
  <si>
    <r>
      <rPr>
        <i/>
        <sz val="12"/>
        <color theme="1"/>
        <rFont val="Calibri"/>
        <family val="2"/>
        <charset val="1"/>
      </rPr>
      <t>05_Testing</t>
    </r>
    <r>
      <rPr>
        <sz val="12"/>
        <color theme="1"/>
        <rFont val="Calibri"/>
        <family val="2"/>
        <charset val="1"/>
      </rPr>
      <t xml:space="preserve"> </t>
    </r>
  </si>
  <si>
    <t>(Test cases, Test results, Test report)
BM26, BM27, BM28, BM29</t>
  </si>
  <si>
    <t xml:space="preserve">/[ProjectCode]/05_Testing </t>
  </si>
  <si>
    <t>Read: All members
Write/Modify: PM, TL, Tester
Delete: PM</t>
  </si>
  <si>
    <r>
      <rPr>
        <i/>
        <sz val="12"/>
        <color theme="1"/>
        <rFont val="Calibri"/>
        <family val="2"/>
        <charset val="1"/>
      </rPr>
      <t>06_Deployment</t>
    </r>
    <r>
      <rPr>
        <sz val="12"/>
        <color theme="1"/>
        <rFont val="Calibri"/>
        <family val="2"/>
        <charset val="1"/>
      </rPr>
      <t xml:space="preserve"> </t>
    </r>
  </si>
  <si>
    <t>(Release notes, deployment scripts, rollback plans)
BM30, BM31</t>
  </si>
  <si>
    <t xml:space="preserve">/[ProjectCode]/06_Deployment </t>
  </si>
  <si>
    <r>
      <rPr>
        <i/>
        <sz val="12"/>
        <color theme="1"/>
        <rFont val="Calibri"/>
        <family val="2"/>
        <charset val="1"/>
      </rPr>
      <t>07_Documentation</t>
    </r>
    <r>
      <rPr>
        <sz val="12"/>
        <color theme="1"/>
        <rFont val="Calibri"/>
        <family val="2"/>
        <charset val="1"/>
      </rPr>
      <t xml:space="preserve"> </t>
    </r>
  </si>
  <si>
    <t>(User manuals, training guides, FAQs and project templates)</t>
  </si>
  <si>
    <t xml:space="preserve">/[ProjectCode]/07_Documentation </t>
  </si>
  <si>
    <t>Read: All members
Write/Modify: All members
Delete: PM</t>
  </si>
  <si>
    <r>
      <rPr>
        <i/>
        <sz val="12"/>
        <color theme="1"/>
        <rFont val="Calibri"/>
        <family val="2"/>
        <charset val="1"/>
      </rPr>
      <t>08_Communication</t>
    </r>
    <r>
      <rPr>
        <sz val="12"/>
        <color theme="1"/>
        <rFont val="Calibri"/>
        <family val="2"/>
        <charset val="1"/>
      </rPr>
      <t xml:space="preserve"> </t>
    </r>
  </si>
  <si>
    <t>(Meeting minutes, emails, stakeholder reports)
BM08</t>
  </si>
  <si>
    <t xml:space="preserve">/[ProjectCode]/08_Communication </t>
  </si>
  <si>
    <r>
      <rPr>
        <i/>
        <sz val="12"/>
        <color theme="1"/>
        <rFont val="Calibri"/>
        <family val="2"/>
        <charset val="1"/>
      </rPr>
      <t>09_Backups</t>
    </r>
    <r>
      <rPr>
        <sz val="12"/>
        <color theme="1"/>
        <rFont val="Calibri"/>
        <family val="2"/>
        <charset val="1"/>
      </rPr>
      <t xml:space="preserve"> </t>
    </r>
  </si>
  <si>
    <t>(Versioned backups, recovery plans)</t>
  </si>
  <si>
    <t xml:space="preserve">/[ProjectCode]/09_Backups </t>
  </si>
  <si>
    <t>10_CustomerSupplied</t>
  </si>
  <si>
    <t>(All materials provided by Customer)</t>
  </si>
  <si>
    <t>/[ProjectCode]/10_CustomerSupplied</t>
  </si>
  <si>
    <t>Read: All members
Write/Modify: PM, TL, Tester, Developer
Delete: PM</t>
  </si>
  <si>
    <t>2. File/Document Configuration</t>
  </si>
  <si>
    <t>File</t>
  </si>
  <si>
    <t>Folder Location</t>
  </si>
  <si>
    <t>File Name Format</t>
  </si>
  <si>
    <t xml:space="preserve">Template Path </t>
  </si>
  <si>
    <t>/[Project Code]/03_Design/AD/v[x.y]/</t>
  </si>
  <si>
    <t>NWS_[ProjectCode]_AD_v[x.y]</t>
  </si>
  <si>
    <t>/[Project Code]/07_Documentation/Templates/NWS_AD_v1.0</t>
  </si>
  <si>
    <t>x: major version, y: minor version</t>
  </si>
  <si>
    <t>/[Project Code]/03_Design/DD/v[x.y]/</t>
  </si>
  <si>
    <t>NWS_[ProjectCode]_[FunctionID]_DD_v[x.y]</t>
  </si>
  <si>
    <t>/[Project Code]/07_Documentation/Templates/NWS_DD_v1.0</t>
  </si>
  <si>
    <t>/[Project Code]/05_Testing/[Stage]/[FunctionID]</t>
  </si>
  <si>
    <t>NWS_[ProjectCode]_[FunctionID]_TestCase_v[x.y]</t>
  </si>
  <si>
    <t>/[Project Code]/07_Documentation/Templates/NWS_TestCase_v1.0</t>
  </si>
  <si>
    <t>Test Result</t>
  </si>
  <si>
    <t>NWS_[ProjectCode]_[FunctionID]_TestResult_v[x.y]</t>
  </si>
  <si>
    <t>/[Project Code]/07_Documentation/Templates/NWS_TestResult_v1.0</t>
  </si>
  <si>
    <t>Test Report</t>
  </si>
  <si>
    <t>/[Project Code]/05_Testing/[Stage]/</t>
  </si>
  <si>
    <t>NWS_[ProjectCode]_[Stage]_TestReport_v[x.y]</t>
  </si>
  <si>
    <t>/[Project Code]/07_Documentation/Templates/NWS_TestReport_v1.0</t>
  </si>
  <si>
    <t xml:space="preserve">+ Stage: UT/IT/ST/UAT
</t>
  </si>
  <si>
    <t xml:space="preserve">… </t>
  </si>
  <si>
    <t>3. Source Code Management</t>
  </si>
  <si>
    <t>3.1. Branch management</t>
  </si>
  <si>
    <t>Branch</t>
  </si>
  <si>
    <t>Content Format</t>
  </si>
  <si>
    <t>main</t>
  </si>
  <si>
    <t>chứa phiên bản stable đã release.</t>
  </si>
  <si>
    <t>develop/[feature-id]</t>
  </si>
  <si>
    <t>hotfix</t>
  </si>
  <si>
    <t>xử lý lỗi khẩn cấp.</t>
  </si>
  <si>
    <t>3.2. Source code management (Pull request, code review &amp; tagging)</t>
  </si>
  <si>
    <t>Activity</t>
  </si>
  <si>
    <t>Hệ thống quản lý mã nguồn</t>
  </si>
  <si>
    <t>GitLab / GitHub / Bitbucket</t>
  </si>
  <si>
    <t>Nhánh chính</t>
  </si>
  <si>
    <t>Chiến lược nhánh</t>
  </si>
  <si>
    <t>Git Flow / Feature branching / Trunk-based</t>
  </si>
  <si>
    <t>Quy trình Pull Request</t>
  </si>
  <si>
    <t>- Feature branch → Merge vào develop
- Phải có ít nhất 1 code reviewer chấp thuận</t>
  </si>
  <si>
    <t>Code Review Rules</t>
  </si>
  <si>
    <t>- Review theo checklist (naming, logic, performance...)
- Không Merge nếu có comment chưa resolved</t>
  </si>
  <si>
    <t>Tagging / Versioning</t>
  </si>
  <si>
    <t>- Theo Semantic Versioning: v1.0.0, v1.1.2
- Tag khi chuẩn bị release hoặc sau khi pass UAT</t>
  </si>
  <si>
    <t>3.3. Source code's Build management</t>
  </si>
  <si>
    <t>Công cụ build</t>
  </si>
  <si>
    <t>Maven / Gradle / npm / Webpack / Docker build…</t>
  </si>
  <si>
    <t>Công cụ CI/CD</t>
  </si>
  <si>
    <t>GitLab CI, Jenkins, GitHub Actions…</t>
  </si>
  <si>
    <t>Trigger build</t>
  </si>
  <si>
    <t>- Tự động khi push/Merge vào develop / main
- Thủ công nếu là bản release</t>
  </si>
  <si>
    <t>Quy trình build</t>
  </si>
  <si>
    <t>1. Pull source → 2. Build → 3. Run tests → 4. Package artifact (ZIP, Docker image…)</t>
  </si>
  <si>
    <t>Build environments</t>
  </si>
  <si>
    <t>dev / staging / production</t>
  </si>
  <si>
    <t>Kiểm soát thất bại build</t>
  </si>
  <si>
    <t>Notify trên Slack / Email + Không cho phép merge nếu build fail</t>
  </si>
  <si>
    <t>3.4. Source code's Deployment management</t>
  </si>
  <si>
    <t>Môi trường triển khai</t>
  </si>
  <si>
    <t>- Dev: auto deploy từ develop
- Staging: deploy từ bản build có tag release-*
- Production: deploy thủ công / approve bởi PM</t>
  </si>
  <si>
    <t>Công cụ triển khai</t>
  </si>
  <si>
    <t>- Docker Compose / Kubernetes / AWS ECS
- Ansible / Terraform (nếu hạ tầng Tự động)</t>
  </si>
  <si>
    <t>Chiến lược triển khai</t>
  </si>
  <si>
    <t>Rolling Update / Blue-Green / Canary</t>
  </si>
  <si>
    <t>Tự động hay thủ công</t>
  </si>
  <si>
    <t>- Tự động: CI/CD pipeline deploy đến Dev
- Thủ công: Prod deploy Phải có approval</t>
  </si>
  <si>
    <t xml:space="preserve">Kế hoạch rollback </t>
  </si>
  <si>
    <t>- Giữ lại 2 bản gần nhất
- Rollback bằng tag version hoặc backup</t>
  </si>
  <si>
    <t>Quản lý biến môi trường</t>
  </si>
  <si>
    <t>- .env file, Secret Manager (AWS, Vault…)
- Không commit biến nhạy cảm vào Git</t>
  </si>
  <si>
    <t>4. Environement Control</t>
  </si>
  <si>
    <t>4.1. Environment Control</t>
  </si>
  <si>
    <t>Enviroment</t>
  </si>
  <si>
    <t xml:space="preserve">Location/IP </t>
  </si>
  <si>
    <t>Môi trường lập trình, chứa mã nguồn, dữ liệu giả, không quan trọng</t>
  </si>
  <si>
    <t>192.168.10.10 / dev.local</t>
  </si>
  <si>
    <t>Chỉ Developer, không truy cập từ bên ngoài</t>
  </si>
  <si>
    <t>Nguyễn Văn A (Lead Developer)</t>
  </si>
  <si>
    <t>Test Environment</t>
  </si>
  <si>
    <t>Môi trường kiểm thử tính năng, dữ liệu gần thật nhưng không nhạy cảm</t>
  </si>
  <si>
    <t>192.168.20.20 / test.local</t>
  </si>
  <si>
    <t>Developer, Tester (QA), không cho khách hàng</t>
  </si>
  <si>
    <t>Trần Thị B (QA Leader)</t>
  </si>
  <si>
    <t>Môi trường staging giả lập production, dùng kiểm tra cuối cùng</t>
  </si>
  <si>
    <t>192.168.30.30 / staging.local</t>
  </si>
  <si>
    <t>PM, QA Leader, Dev Leader, kiểm soát chặt chẽ</t>
  </si>
  <si>
    <t>Lê Văn C (PM)</t>
  </si>
  <si>
    <t>Môi trường chính, chứa dữ liệu thật, dịch vụ đang chạy</t>
  </si>
  <si>
    <t>203.113.xxx.xxx / prod.domain</t>
  </si>
  <si>
    <t>Chỉ SysAdmin, có 2FA, audit log đầy đủ</t>
  </si>
  <si>
    <t>Phạm Thị D (Infra Manager)</t>
  </si>
  <si>
    <t>4.2. Environment Requirement</t>
  </si>
  <si>
    <t>Item</t>
  </si>
  <si>
    <t>Feature</t>
  </si>
  <si>
    <t>Environment Link</t>
  </si>
  <si>
    <t>Server</t>
  </si>
  <si>
    <t>OS</t>
  </si>
  <si>
    <t xml:space="preserve">Windows 10 x64 </t>
  </si>
  <si>
    <t>Database</t>
  </si>
  <si>
    <t>MySQL server 7.0</t>
  </si>
  <si>
    <t>Development Language</t>
  </si>
  <si>
    <t>PHP: 7.4</t>
  </si>
  <si>
    <t>Client</t>
  </si>
  <si>
    <t>Windows 10 x64</t>
  </si>
  <si>
    <t>Mobile Device</t>
  </si>
  <si>
    <t>Mobile OS</t>
  </si>
  <si>
    <t>iOS xx.x</t>
  </si>
  <si>
    <t>Browser</t>
  </si>
  <si>
    <t>Mobile: iPhone 14 
Chrome 12.x, Safari 17.x</t>
  </si>
  <si>
    <t>5. Other Configuration</t>
  </si>
  <si>
    <t>Standard Setting</t>
  </si>
  <si>
    <t>Log Management</t>
  </si>
  <si>
    <t>Cấu hình hệ thống ghi log ứng dụng, hệ thống và audit log</t>
  </si>
  <si>
    <t>Log lưu 90 ngày, phân quyền truy cập log rõ ràng</t>
  </si>
  <si>
    <t>Phân biệt log application và OS</t>
  </si>
  <si>
    <t>Time Synchronization (NTP)</t>
  </si>
  <si>
    <t>Đồng bộ thời gian hệ thống với NTP server</t>
  </si>
  <si>
    <t>Sử dụng NTP nội bộ hoặc ntp.vnpt.vn</t>
  </si>
  <si>
    <t>Quan trọng để kiểm tra log chính xác</t>
  </si>
  <si>
    <t>Password Policy</t>
  </si>
  <si>
    <t xml:space="preserve">Quy định đặt mật khẩu trên hệ thống, source repo, dịch vụ CI/CD	</t>
  </si>
  <si>
    <t xml:space="preserve">8+ ký tự, có số, chữ hoa, đặc biệt	</t>
  </si>
  <si>
    <t>Rotation mỗi 90 ngày</t>
  </si>
  <si>
    <t>Firewall/Port Management</t>
  </si>
  <si>
    <t>Danh sách port mở, dịch vụ nào được phép kết nối</t>
  </si>
  <si>
    <t>Chỉ cho phép 80/443/22 từ IP cụ thể</t>
  </si>
  <si>
    <t>Kiểm tra mỗi quý</t>
  </si>
  <si>
    <t>API Key/Token Management</t>
  </si>
  <si>
    <t>Quản lý các API key hoặc access token liên quan đến hệ thống</t>
  </si>
  <si>
    <t xml:space="preserve">Không lưu hard-code trong source	</t>
  </si>
  <si>
    <t>Lưu qua môi trường (.env, secret manager)</t>
  </si>
  <si>
    <t>Communication Plan &amp; Tools</t>
  </si>
  <si>
    <t>1. Meeting Plan</t>
  </si>
  <si>
    <t>Meeting Type</t>
  </si>
  <si>
    <t>Method</t>
  </si>
  <si>
    <t>Frequently</t>
  </si>
  <si>
    <t>Goal/Content</t>
  </si>
  <si>
    <t>Facilitator</t>
  </si>
  <si>
    <t>Time</t>
  </si>
  <si>
    <t>Kick-off meeting</t>
  </si>
  <si>
    <t>Meeting</t>
  </si>
  <si>
    <t>Start Project</t>
  </si>
  <si>
    <t>TBD</t>
  </si>
  <si>
    <t>Daily meeting</t>
  </si>
  <si>
    <t>Daily</t>
  </si>
  <si>
    <t>Daily report</t>
  </si>
  <si>
    <t>Chat (Teams)</t>
  </si>
  <si>
    <t>Trao đổi nội bộ</t>
  </si>
  <si>
    <t>Real-time</t>
  </si>
  <si>
    <t>Team</t>
  </si>
  <si>
    <t>Grooming &amp; Planing</t>
  </si>
  <si>
    <t>Start sprint</t>
  </si>
  <si>
    <t>Review &amp; Retrospective</t>
  </si>
  <si>
    <t>End sprint</t>
  </si>
  <si>
    <t>Internal Demo</t>
  </si>
  <si>
    <t>2. Communication plan</t>
  </si>
  <si>
    <t>Communication Type</t>
  </si>
  <si>
    <t>Weekly Report</t>
  </si>
  <si>
    <t xml:space="preserve">File </t>
  </si>
  <si>
    <t>Weekly</t>
  </si>
  <si>
    <t>Issue Report</t>
  </si>
  <si>
    <t>Irregular, TBD</t>
  </si>
  <si>
    <t xml:space="preserve">Liên lạc </t>
  </si>
  <si>
    <t>Trao đổi Q&amp;A</t>
  </si>
  <si>
    <t>Google Docs</t>
  </si>
  <si>
    <t>3. Comunication Tools</t>
  </si>
  <si>
    <t>Tools</t>
  </si>
  <si>
    <t>Security &amp; Compliance requirements</t>
  </si>
  <si>
    <t>4. Tools</t>
  </si>
  <si>
    <t>Project Metric</t>
  </si>
  <si>
    <t>1. Project Standard Metric</t>
  </si>
  <si>
    <t>Target</t>
  </si>
  <si>
    <t>Result tracking</t>
  </si>
  <si>
    <t>Category</t>
  </si>
  <si>
    <t>Metric</t>
  </si>
  <si>
    <t>Unit</t>
  </si>
  <si>
    <t>  LSL  </t>
  </si>
  <si>
    <t>Average</t>
  </si>
  <si>
    <t>  USL  </t>
  </si>
  <si>
    <t>Objectives</t>
  </si>
  <si>
    <t>Formula</t>
  </si>
  <si>
    <t>When</t>
  </si>
  <si>
    <t>Quality</t>
  </si>
  <si>
    <t>Customer Satisfaction</t>
  </si>
  <si>
    <t>Point</t>
  </si>
  <si>
    <t>Đánh giá mức độ đáp ứng yêu cầu của khách hàng</t>
  </si>
  <si>
    <t>Tổng điểm trong phiếu khảo sát khách hàng từng lần/ kết thúc dự án</t>
  </si>
  <si>
    <t>Fixed Prices: Close Project
Labo : 2 tuần/lần</t>
  </si>
  <si>
    <t>Leakage</t>
  </si>
  <si>
    <t>No.Def/MM</t>
  </si>
  <si>
    <t>Đo chất lượng sản phẩm/dịch vụ sau khi bàn giao (User Acceptance Test)</t>
  </si>
  <si>
    <t xml:space="preserve">– Số lỗi phát hiện sau bàn giao / Kích thước dự án </t>
  </si>
  <si>
    <t>End phase/ Close project</t>
  </si>
  <si>
    <t>Defect rate (Coding)</t>
  </si>
  <si>
    <t>Đánh giá chất lượng toàn bộ sản phẩm dự án</t>
  </si>
  <si>
    <t xml:space="preserve">– Tổng số lỗi (Code review + Peer review+
Unit test)/ Kích thước dự án </t>
  </si>
  <si>
    <t>Fixed Prices: Milestone/End phase /Close project
Labo: Monthly/End phase /Close project</t>
  </si>
  <si>
    <t>Defect rate (Testing)</t>
  </si>
  <si>
    <t xml:space="preserve">– Tổng số lỗi (System Test + Integration Test + Regression Test) / Kích thước dự án </t>
  </si>
  <si>
    <t>Cost</t>
  </si>
  <si>
    <t>Effort Efficiency</t>
  </si>
  <si>
    <t>%</t>
  </si>
  <si>
    <t>Đo lường hiệu suất sử dụng nguồn lực dự án</t>
  </si>
  <si>
    <t>= (Plan MM / Actual effort ) * 100</t>
  </si>
  <si>
    <t>Monthly/Close phase/Close project</t>
  </si>
  <si>
    <t>Delivery</t>
  </si>
  <si>
    <t>Timeliness</t>
  </si>
  <si>
    <t>Đánh giá thời gian giao hàng đúng hạn</t>
  </si>
  <si>
    <t>= (Tổng thời gian giao đúng hạn / Tổng thời gian dự án cần giao tới khách hàng đến thời điểm báo cáo) × 100</t>
  </si>
  <si>
    <t>Process</t>
  </si>
  <si>
    <t>Process Compliance</t>
  </si>
  <si>
    <t>Đánh giá mức độ tuân thủ chuẩn/quy trình/quy định</t>
  </si>
  <si>
    <t xml:space="preserve">= SUMPRODUCT(checked items,assessment results)/SUM(checked items). </t>
  </si>
  <si>
    <t>Labo: Monthly, Close phase/ project
Fixed Prices: Milestone, Close phase/ project</t>
  </si>
  <si>
    <t>2. Quality metric by Stage</t>
  </si>
  <si>
    <t>Target Result</t>
  </si>
  <si>
    <t>Description/ Calculation Formula</t>
  </si>
  <si>
    <t>Min value</t>
  </si>
  <si>
    <t>Norm value</t>
  </si>
  <si>
    <t>Max value</t>
  </si>
  <si>
    <t>Comment rate for Basic Design</t>
  </si>
  <si>
    <t>Số comment/10 pages</t>
  </si>
  <si>
    <t>Đánh giá mức độ đáp ứng yêu cầu của khách hàng cho tài liệu thiết kế kiến trúc</t>
  </si>
  <si>
    <t xml:space="preserve">	Đếm tổng số comment được reviewer ghi chú trên tài liệu thiết kế cơ bản (Basic Design) chia theo số lượng trang (10 pages).
🔧 Tool: Word (Review → Comments), PDF Reader (Comment Summary), Google Docs (Comment Count)</t>
  </si>
  <si>
    <t>Comment rate for Detail Design</t>
  </si>
  <si>
    <t>Đánh giá mức độ đáp ứng yêu cầu của khách hàng cho tài liệu thiết kế chi tiết</t>
  </si>
  <si>
    <t xml:space="preserve">	Tương tự như trên, nhưng áp dụng cho tài liệu thiết kế chi tiết (Detail Design).
🔧 Tool: Word, PDF, hoặc hệ thống DMS có lưu comment</t>
  </si>
  <si>
    <t>Bug rate for Unit Test</t>
  </si>
  <si>
    <t>Số comment hoặc lỗi/1000 dòng code</t>
  </si>
  <si>
    <t>Đánh giá mức độ đáp ứng yêu cầu của khách hàng cho source code sau công đoạn coding</t>
  </si>
  <si>
    <t>Đếm số lỗi (bugs) được phát hiện trong Unit Test chia cho số lượng dòng code viết mới.
🔧 Tool: GitHub/GitLab + CLOC để tính LOC + Test result log</t>
  </si>
  <si>
    <t>Coverage rate for Unit test</t>
  </si>
  <si>
    <t>Tỉ lệ Coverage source code …</t>
  </si>
  <si>
    <t xml:space="preserve">	Dùng công cụ đo coverage để tính số dòng code được test chia cho tổng số dòng code.
🔧 Tool: JUnit, NUnit</t>
  </si>
  <si>
    <t>Bug rate for IT Test</t>
  </si>
  <si>
    <t>Số bug/1000 dòng code</t>
  </si>
  <si>
    <t>Đánh giá mức độ đáp ứng yêu cầu của khách hàng cho sản phẩm sau giai đoạn tích hợp hệ thống</t>
  </si>
  <si>
    <t>Tổng số lỗi được ghi nhận trong IT Test chia cho tổng số dòng code đôi tượng
🔧 Tool: Redmine, CLOC</t>
  </si>
  <si>
    <t>Bug rate for UAT Test</t>
  </si>
  <si>
    <t>Đánh giá mức độ đáp ứng yêu cầu của khách hàng cho sản phẩm sau giai đoạn bàn giao hệ thống</t>
  </si>
  <si>
    <t>Tương tự trên nhưng tính lỗi trong quá trình UAT test.
🔧 Tool: Redmine, CLOC</t>
  </si>
  <si>
    <t>Số Bug/MM</t>
  </si>
  <si>
    <t xml:space="preserve">	Tổng số bug tìm thấy trong IT Test chia cho số MM (man-month) effort đã sử dụng.
🔧 Tool: Redmine + Resource allocation trên kênh PM</t>
  </si>
  <si>
    <t xml:space="preserve">	Tổng số bug tìm thấy trong UAT Test chia cho số MM (man-month) effort đã sử dụng.
🔧 Tool: Redmine + Resource allocation trên kênh PM</t>
  </si>
  <si>
    <t>3. Quality Assurance Strategic</t>
  </si>
  <si>
    <t xml:space="preserve">Approach Method </t>
  </si>
  <si>
    <t xml:space="preserve">Triển khai áp dụng tiêu chuẩn coding chuẩn </t>
  </si>
  <si>
    <t>Áp dụng chuẩn (ví dụ: Google Java Style, JavaScript Style Guide). 
Có file .editorconfig để thống nhất format.</t>
  </si>
  <si>
    <t>Code review</t>
  </si>
  <si>
    <t xml:space="preserve">Triển khai chạy review static source code dùng tool </t>
  </si>
  <si>
    <t>Chạy tự động SonarQube, ESLint khi commit/push. 
Rule: Cyclomatic Complexity, Code Smells, Security Vulnerabilities.
Threshold: Code Smells &lt; X, Coverage ≥ 80%.</t>
  </si>
  <si>
    <t>Triển khai Leader thực hiện review code</t>
  </si>
  <si>
    <t>Pull Request/Checklist review bắt buộc
Tối thiểu có 1 lượt cross review hoặc leader review
Bắt buộc sửa comment trước khi merge
Comment list tổng hợp lại trên redmine</t>
  </si>
  <si>
    <t>Unit test</t>
  </si>
  <si>
    <t>Triển khai thiết lập tiêu chuẩn Unit testing</t>
  </si>
  <si>
    <t>Tối thiểu đến cover C0/C1.
Gồm cả abnormal case</t>
  </si>
  <si>
    <t>Triển khai tiêu chuẩn execute Unit testing</t>
  </si>
  <si>
    <t>Coverage ≥ 80% 
Unit Test phải chạy tự động qua CI/CD pipeline.</t>
  </si>
  <si>
    <t>Integration Test</t>
  </si>
  <si>
    <t>Triển khai phân tích nguyên nhân bug theo phương pháp 5Why</t>
  </si>
  <si>
    <t>Phân tích nguyên nhân, dùng 5Why để tìm được nguyên nhân gốc rễ
Đưa ra solution
Check similar
Check degrade
Đối ứng toàn bộ các similar và degrade</t>
  </si>
  <si>
    <t>4. Non-functional requirements ensuring criteria</t>
  </si>
  <si>
    <t>(*)Trong trường hợp khách hàng yêu cầu</t>
  </si>
  <si>
    <t>Performance</t>
  </si>
  <si>
    <t>Áp dụng các kỹ thuật cải thiện performance như : 
+ Đánh index
+ Dùng store procedure
+ Multi-thread
+ Review luồng nghiệp vụ tổng quan</t>
  </si>
  <si>
    <t>Change Management &amp; Risk management​</t>
  </si>
  <si>
    <t>1. Change Management Plan</t>
  </si>
  <si>
    <t>Change Management File</t>
  </si>
  <si>
    <r>
      <rPr>
        <i/>
        <sz val="12"/>
        <color rgb="FF000000"/>
        <rFont val="Calibri"/>
        <family val="2"/>
        <charset val="1"/>
      </rPr>
      <t xml:space="preserve">Refer </t>
    </r>
    <r>
      <rPr>
        <i/>
        <sz val="12"/>
        <color rgb="FFFF0000"/>
        <rFont val="Calibri"/>
        <family val="2"/>
        <charset val="1"/>
      </rPr>
      <t>[BM06_NWS_[ProjectCode]_CR Management_v1.0]</t>
    </r>
  </si>
  <si>
    <t>2. Risk Management​ Plan</t>
  </si>
  <si>
    <t>Management​ content</t>
  </si>
  <si>
    <t>Risk Management File</t>
  </si>
  <si>
    <r>
      <rPr>
        <i/>
        <sz val="12"/>
        <color rgb="FF000000"/>
        <rFont val="Calibri"/>
        <family val="2"/>
        <charset val="1"/>
      </rPr>
      <t xml:space="preserve">Refer </t>
    </r>
    <r>
      <rPr>
        <i/>
        <sz val="12"/>
        <color rgb="FFFF0000"/>
        <rFont val="Calibri"/>
        <family val="2"/>
        <charset val="1"/>
      </rPr>
      <t>[BM04_NWS_[ProjectCode]_Risk Management_v1.0]</t>
    </r>
  </si>
  <si>
    <t>3. Resource Allocation Plan</t>
  </si>
  <si>
    <t>Resource Allocation File</t>
  </si>
  <si>
    <r>
      <rPr>
        <i/>
        <sz val="12"/>
        <color rgb="FF000000"/>
        <rFont val="Calibri"/>
        <family val="2"/>
        <charset val="1"/>
      </rPr>
      <t xml:space="preserve">Refer </t>
    </r>
    <r>
      <rPr>
        <i/>
        <sz val="12"/>
        <color rgb="FFFF0000"/>
        <rFont val="Calibri"/>
        <family val="2"/>
        <charset val="1"/>
      </rPr>
      <t>[BM12_NWS_[ProjectCode]_Resource Allocation Plan_v1.0]</t>
    </r>
  </si>
  <si>
    <t>Master Data</t>
  </si>
  <si>
    <t>Resposibility</t>
  </si>
  <si>
    <t>Responsible (Does the work)</t>
  </si>
  <si>
    <t>Accountable (Final approval)</t>
  </si>
  <si>
    <t>Consulted (Provides input)</t>
  </si>
  <si>
    <t>Informed (Kept updated)</t>
  </si>
  <si>
    <t>-</t>
  </si>
  <si>
    <t>None</t>
  </si>
  <si>
    <t>P001</t>
  </si>
  <si>
    <t>Truyenthieu</t>
  </si>
  <si>
    <t>Nguyễn Hoàng Dương</t>
  </si>
  <si>
    <t>DuongNH</t>
  </si>
  <si>
    <t>Dự án Truyenthieu (Ứng dụng web app đọc, quản lý sách online/offline)
+ Dự án nâng cấp Ứng dụng đọc và quản lý sách cũ trong môn 6.AI for dev trong khóa học VTI
+ Project Background:
- Hệ thống hiện tại là một ứng dụng quản lý sách cơ bản, cho phép người dùng lưu thông tin sách và đọc PDF từ file trên thiết bị hoặc từ URL.
- Tuy nhiên, PDF cục bộ hiện đang được lưu trong IndexedDB của trình duyệt. Dữ liệu này phụ thuộc vào từng trình duyệt, có thể bị mất khi xóa dữ liệu trình duyệt và không thuận tiện khi truy cập từ thiết bị khác.
- Dự án này được thực hiện nhằm nâng cấp hệ thống thành một ứng dụng quản lý và đọc PDF cá nhân hoàn chỉnh ở mức cơ bản.</t>
  </si>
  <si>
    <t>[Project product overview:
Dự án Truyenthieu sẽ cung cấp công cụ đọc sách PDF online và offline, tạo tiền đề cho phát triển thành ứng dụng đọc sách mới
Product description: 
+ Quản lý các sách có trong máy tính hoặc có nguồn PDF trên mạng
+ Lưu dấu trang đọc sách, tra cứu dễ dàng
+ Thống kê số sách
+ Cho phép người dùng upload PDF từ máy tính hoặc điện thoại.
+ Cho phép tải PDF xuống trình duyệt để đọc offline.
+ Cung cấp giao diện responsive cho máy tính và điện thoại.</t>
  </si>
  <si>
    <t>Code đã được triển khai.</t>
  </si>
  <si>
    <t>Build không có lỗi.</t>
  </si>
  <si>
    <t>Luồng bình thường hoạt động.</t>
  </si>
  <si>
    <t>Các trường hợp lỗi chính đã được xử lý.</t>
  </si>
  <si>
    <t>Unit Test liên quan đã pass.</t>
  </si>
  <si>
    <t>Integration hoặc System Test liên quan đã pass.</t>
  </si>
  <si>
    <t>Tài liệu thiết kế được cập nhật nếu code thay đổi.</t>
  </si>
  <si>
    <t xml:space="preserve">Frontend: </t>
  </si>
  <si>
    <t>React + TypeScript + Vite</t>
  </si>
  <si>
    <t xml:space="preserve">Backend: </t>
  </si>
  <si>
    <t>Spring Boot.</t>
  </si>
  <si>
    <t xml:space="preserve">Database: </t>
  </si>
  <si>
    <t>SQL Server.</t>
  </si>
  <si>
    <t xml:space="preserve">Đọc PDF: </t>
  </si>
  <si>
    <t>react-pdf</t>
  </si>
  <si>
    <t xml:space="preserve">Offline: </t>
  </si>
  <si>
    <t>IndexedDB.</t>
  </si>
  <si>
    <t xml:space="preserve">API: </t>
  </si>
  <si>
    <t>REST API.</t>
  </si>
  <si>
    <t xml:space="preserve">Mobile: </t>
  </si>
  <si>
    <t>giao diện web responsive.</t>
  </si>
  <si>
    <t>├── 01_Project_Plan</t>
  </si>
  <si>
    <t>│   ├── Project_Open</t>
  </si>
  <si>
    <t>│   ├── Scope.md</t>
  </si>
  <si>
    <t>│   ├── Schedule.xlsx</t>
  </si>
  <si>
    <t>│   └── Risk_List.xlsx</t>
  </si>
  <si>
    <t>├── 02_Requirement</t>
  </si>
  <si>
    <t>│   ├── Requirement_Specification.docx</t>
  </si>
  <si>
    <t>│   ├── Use_Cases.xlsx</t>
  </si>
  <si>
    <t>│   └── Traceability_Matrix.xlsx</t>
  </si>
  <si>
    <t>├── 03_Basic_Design</t>
  </si>
  <si>
    <t>│   ├── Basic_Design.docx</t>
  </si>
  <si>
    <t>│   ├── Screen_Design.xlsx</t>
  </si>
  <si>
    <t>│   ├── ER_Diagram.png</t>
  </si>
  <si>
    <t>│   └── API_List.xlsx</t>
  </si>
  <si>
    <t>├── 04_Detail_Design</t>
  </si>
  <si>
    <t>│   ├── Backend_Detail_Design.docx</t>
  </si>
  <si>
    <t>│   ├── Frontend_Detail_Design.docx</t>
  </si>
  <si>
    <t>│   └── API_Definition.xlsx</t>
  </si>
  <si>
    <t>├── 05_Test</t>
  </si>
  <si>
    <t>│   ├── Unit_Test.xlsx</t>
  </si>
  <si>
    <t>│   ├── Integration_Test.xlsx</t>
  </si>
  <si>
    <t>│   ├── System_Test.xlsx</t>
  </si>
  <si>
    <t>│   ├── UAT.xlsx</t>
  </si>
  <si>
    <t>│   └── Bug_List.xlsx</t>
  </si>
  <si>
    <t>└── 06_Release</t>
  </si>
  <si>
    <t xml:space="preserve">    ├── Installation_Guide.md</t>
  </si>
  <si>
    <t xml:space="preserve">    ├── User_Manual.md</t>
  </si>
  <si>
    <t xml:space="preserve">    └── Release_Note.md</t>
  </si>
  <si>
    <t>Root Folder: P001</t>
  </si>
  <si>
    <t>Project in Local Computer</t>
  </si>
  <si>
    <t>C:\Users\ADMIN\Documents\code-work\Newwave\BrSE_Training\AI_Training\Newwave_AI_Training</t>
  </si>
  <si>
    <t>Local Computer</t>
  </si>
  <si>
    <t>C:\Users\ADMIN\Documents\code-work\Newwave\BrSE_Training\AI_Training\Newwave_AI_Training\Project_ngan\01_Project_Management\BM03_NWS_P001_Project Management Plan_v2.0.xlsx</t>
  </si>
  <si>
    <t>C:\Users\ADMIN\Documents\code-work\Newwave\BrSE_Training\AI_Training\Newwave_AI_Training\Project_ngan\01_Project_Management</t>
  </si>
  <si>
    <t xml:space="preserve"> codex://threads/019f4c76-32b3-75e3-8844-0e064282e5f2</t>
  </si>
  <si>
    <t>11_Codex/ChatGPT-support</t>
  </si>
  <si>
    <t>Codex App</t>
  </si>
  <si>
    <t>(Project management plan, schedules, risk assessments, project reports)
BM01, BM03 , BM04 , BM05</t>
  </si>
  <si>
    <t>branch1</t>
  </si>
  <si>
    <t>chứa phiên bản app cũ</t>
  </si>
  <si>
    <t>chứa phiên bản update</t>
  </si>
  <si>
    <t>Được tạo bằng codex nên quy tắc đặt tên hơi bị lỏd, sẽ fix sau (ưu tiên thấp)</t>
  </si>
  <si>
    <t>update/renew-app-20260713</t>
  </si>
  <si>
    <t>main, update/renew-app-20260713 (tùy Git flow)</t>
  </si>
  <si>
    <t>"C:\Users\ADMIN\Documents\code-work\Newwave\BrSE_Training\AI_Training\Newwave_AI_Training\Project_ngan\01_Project_Management\BM04_NWS_P001_Risk Management_v1.0.xlsx"</t>
  </si>
  <si>
    <t>BM05_NWS_P001_Project Schedule_v1.0_EN</t>
  </si>
  <si>
    <t>C:\Users\ADMIN\Documents\code-work\Newwave\BrSE_Training\AI_Training\Newwave_AI_Training\Project_ngan\01_Project_Management\BM05_NWS_P001_Project Schedule_v1.0_EN.xlsx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</si>
</sst>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_);_(@_)"/>
    <numFmt numFmtId="165" formatCode="m/d/yyyy"/>
    <numFmt numFmtId="166" formatCode="yyyy/m/d"/>
  </numFmts>
  <fonts count="57">
    <font>
      <sz val="11"/>
      <color theme="1"/>
      <name val="Calibri"/>
      <family val="2"/>
      <charset val="1"/>
    </font>
    <font>
      <u/>
      <sz val="11"/>
      <color theme="10"/>
      <name val="Calibri"/>
      <family val="2"/>
      <charset val="1"/>
    </font>
    <font>
      <sz val="11"/>
      <name val="游ゴシック"/>
      <family val="2"/>
      <charset val="1"/>
    </font>
    <font>
      <sz val="10"/>
      <color rgb="FF000000"/>
      <name val="Calibri"/>
      <family val="2"/>
      <charset val="1"/>
    </font>
    <font>
      <sz val="9"/>
      <name val="ＭＳ Ｐゴシック"/>
      <family val="3"/>
      <charset val="128"/>
    </font>
    <font>
      <b/>
      <sz val="20"/>
      <color theme="0"/>
      <name val="Calibri"/>
      <family val="2"/>
      <charset val="1"/>
    </font>
    <font>
      <sz val="10"/>
      <color theme="0"/>
      <name val="Calibri"/>
      <family val="2"/>
      <charset val="1"/>
    </font>
    <font>
      <sz val="10"/>
      <color theme="1"/>
      <name val="Calibri"/>
      <family val="2"/>
      <charset val="1"/>
    </font>
    <font>
      <sz val="24"/>
      <color theme="0"/>
      <name val="Calibri"/>
      <family val="2"/>
      <charset val="1"/>
    </font>
    <font>
      <i/>
      <sz val="11"/>
      <color rgb="FF000000"/>
      <name val="Calibri"/>
      <family val="2"/>
      <charset val="1"/>
    </font>
    <font>
      <sz val="11"/>
      <color rgb="FF000000"/>
      <name val="Calibri"/>
      <family val="2"/>
      <charset val="1"/>
    </font>
    <font>
      <b/>
      <sz val="16"/>
      <color theme="1"/>
      <name val="Arial"/>
      <family val="2"/>
      <charset val="1"/>
    </font>
    <font>
      <b/>
      <sz val="20"/>
      <color theme="1"/>
      <name val="Arial"/>
      <family val="2"/>
      <charset val="1"/>
    </font>
    <font>
      <sz val="12"/>
      <color rgb="FFFF0000"/>
      <name val="Arial"/>
      <family val="2"/>
      <charset val="1"/>
    </font>
    <font>
      <sz val="12"/>
      <color rgb="FF000000"/>
      <name val="Arial"/>
      <family val="2"/>
      <charset val="1"/>
    </font>
    <font>
      <sz val="12"/>
      <color theme="1"/>
      <name val="Calibri"/>
      <family val="2"/>
      <charset val="1"/>
    </font>
    <font>
      <sz val="12"/>
      <color theme="0"/>
      <name val="Calibri"/>
      <family val="2"/>
      <charset val="1"/>
    </font>
    <font>
      <sz val="12"/>
      <color theme="0"/>
      <name val="Calibri Light"/>
      <family val="2"/>
      <charset val="1"/>
    </font>
    <font>
      <sz val="12"/>
      <name val="Calibri"/>
      <family val="2"/>
      <charset val="1"/>
    </font>
    <font>
      <sz val="10"/>
      <name val="Calibri"/>
      <family val="2"/>
    </font>
    <font>
      <b/>
      <sz val="16"/>
      <color theme="1"/>
      <name val="Calibri"/>
      <family val="2"/>
      <charset val="1"/>
    </font>
    <font>
      <b/>
      <sz val="20"/>
      <color theme="1"/>
      <name val="Calibri"/>
      <family val="2"/>
      <charset val="1"/>
    </font>
    <font>
      <sz val="12"/>
      <color rgb="FF000000"/>
      <name val="Calibri"/>
      <family val="2"/>
      <charset val="1"/>
    </font>
    <font>
      <i/>
      <sz val="10"/>
      <color theme="1"/>
      <name val="Calibri"/>
      <family val="2"/>
      <charset val="1"/>
    </font>
    <font>
      <sz val="9"/>
      <color rgb="FF000000"/>
      <name val="Tahoma"/>
      <family val="2"/>
      <charset val="1"/>
    </font>
    <font>
      <sz val="11"/>
      <color theme="1"/>
      <name val="Calibri Light"/>
      <family val="2"/>
      <charset val="1"/>
    </font>
    <font>
      <b/>
      <sz val="16"/>
      <color theme="1"/>
      <name val="Calibri Light"/>
      <family val="2"/>
      <charset val="1"/>
    </font>
    <font>
      <sz val="10"/>
      <color theme="1"/>
      <name val="Calibri Light"/>
      <family val="2"/>
      <charset val="1"/>
    </font>
    <font>
      <i/>
      <sz val="10"/>
      <name val="Calibri"/>
      <family val="2"/>
      <charset val="1"/>
    </font>
    <font>
      <sz val="10"/>
      <color rgb="FFFF0000"/>
      <name val="Calibri"/>
      <family val="2"/>
      <charset val="1"/>
    </font>
    <font>
      <i/>
      <sz val="10"/>
      <color rgb="FFFF0000"/>
      <name val="Calibri"/>
      <family val="2"/>
      <charset val="1"/>
    </font>
    <font>
      <b/>
      <sz val="30"/>
      <color theme="1"/>
      <name val="Calibri"/>
      <family val="2"/>
      <charset val="1"/>
    </font>
    <font>
      <b/>
      <sz val="12"/>
      <color theme="1"/>
      <name val="Calibri"/>
      <family val="2"/>
      <charset val="1"/>
    </font>
    <font>
      <sz val="12"/>
      <color rgb="FFFF0000"/>
      <name val="Calibri"/>
      <family val="2"/>
      <charset val="1"/>
    </font>
    <font>
      <i/>
      <sz val="12"/>
      <color rgb="FFFF0000"/>
      <name val="Calibri"/>
      <family val="2"/>
      <charset val="1"/>
    </font>
    <font>
      <i/>
      <sz val="12"/>
      <color theme="1"/>
      <name val="Calibri"/>
      <family val="2"/>
      <charset val="1"/>
    </font>
    <font>
      <i/>
      <sz val="12"/>
      <color rgb="FF000000"/>
      <name val="Calibri"/>
      <charset val="1"/>
    </font>
    <font>
      <i/>
      <sz val="12"/>
      <color rgb="FF000000"/>
      <name val="Calibri"/>
      <family val="2"/>
      <charset val="1"/>
    </font>
    <font>
      <sz val="10"/>
      <color theme="1"/>
      <name val="Calibri Light"/>
      <charset val="1"/>
    </font>
    <font>
      <sz val="11"/>
      <color theme="1"/>
      <name val="Calibri Light"/>
      <charset val="1"/>
    </font>
    <font>
      <sz val="16"/>
      <color theme="1"/>
      <name val="Calibri Light"/>
      <charset val="1"/>
    </font>
    <font>
      <b/>
      <sz val="20"/>
      <color theme="1"/>
      <name val="Calibri Light"/>
      <charset val="1"/>
    </font>
    <font>
      <sz val="12"/>
      <color rgb="FF000000"/>
      <name val="Calibri"/>
      <charset val="1"/>
    </font>
    <font>
      <sz val="12"/>
      <color rgb="FF000000"/>
      <name val="Calibri Light"/>
      <charset val="1"/>
    </font>
    <font>
      <sz val="30"/>
      <color theme="1"/>
      <name val="Calibri Light"/>
      <charset val="1"/>
    </font>
    <font>
      <sz val="10"/>
      <color theme="0"/>
      <name val="Calibri Light"/>
      <charset val="1"/>
    </font>
    <font>
      <sz val="10"/>
      <color rgb="FFFF0000"/>
      <name val="Calibri Light"/>
      <charset val="1"/>
    </font>
    <font>
      <sz val="12"/>
      <color theme="1"/>
      <name val="Calibri Light"/>
      <charset val="1"/>
    </font>
    <font>
      <sz val="12"/>
      <color rgb="FFFF0000"/>
      <name val="Calibri Light"/>
      <charset val="1"/>
    </font>
    <font>
      <sz val="20"/>
      <color theme="1"/>
      <name val="Calibri Light"/>
      <charset val="1"/>
    </font>
    <font>
      <sz val="12"/>
      <color theme="0"/>
      <name val="Calibri Light"/>
      <charset val="1"/>
    </font>
    <font>
      <sz val="12"/>
      <name val="Calibri Light"/>
      <charset val="1"/>
    </font>
    <font>
      <i/>
      <sz val="12"/>
      <name val="Calibri"/>
      <family val="2"/>
      <charset val="1"/>
    </font>
    <font>
      <sz val="20"/>
      <color theme="1"/>
      <name val="Calibri"/>
      <family val="2"/>
      <charset val="1"/>
    </font>
    <font>
      <sz val="11"/>
      <color theme="1"/>
      <name val="Calibri"/>
      <family val="2"/>
      <charset val="1"/>
    </font>
    <font>
      <sz val="12"/>
      <color theme="1"/>
      <name val="Calibri"/>
      <family val="2"/>
    </font>
    <font>
      <sz val="10"/>
      <color theme="1"/>
      <name val="Arial Unicode MS"/>
    </font>
  </fonts>
  <fills count="11">
    <fill>
      <patternFill patternType="none"/>
    </fill>
    <fill>
      <patternFill patternType="gray125"/>
    </fill>
    <fill>
      <patternFill patternType="solid">
        <fgColor rgb="FF003E83"/>
        <bgColor rgb="FF1B3E84"/>
      </patternFill>
    </fill>
    <fill>
      <patternFill patternType="solid">
        <fgColor rgb="FF0085F0"/>
        <bgColor rgb="FF0563C1"/>
      </patternFill>
    </fill>
    <fill>
      <patternFill patternType="solid">
        <fgColor rgb="FF2CDCFF"/>
        <bgColor rgb="FF00CCFF"/>
      </patternFill>
    </fill>
    <fill>
      <patternFill patternType="solid">
        <fgColor theme="0"/>
        <bgColor rgb="FFFBE5D6"/>
      </patternFill>
    </fill>
    <fill>
      <patternFill patternType="solid">
        <fgColor rgb="FFFFFF00"/>
        <bgColor rgb="FFFFFF00"/>
      </patternFill>
    </fill>
    <fill>
      <patternFill patternType="solid">
        <fgColor theme="5" tint="0.79989013336588644"/>
        <bgColor rgb="FFFFFFFF"/>
      </patternFill>
    </fill>
    <fill>
      <patternFill patternType="solid">
        <fgColor theme="4"/>
        <bgColor rgb="FF666699"/>
      </patternFill>
    </fill>
    <fill>
      <patternFill patternType="solid">
        <fgColor rgb="FF1B3E84"/>
        <bgColor rgb="FF003E83"/>
      </patternFill>
    </fill>
    <fill>
      <patternFill patternType="solid">
        <fgColor theme="0"/>
        <bgColor rgb="FFFFFFCC"/>
      </patternFill>
    </fill>
  </fills>
  <borders count="24">
    <border>
      <left/>
      <right/>
      <top/>
      <bottom/>
      <diagonal/>
    </border>
    <border>
      <left/>
      <right/>
      <top/>
      <bottom style="thin">
        <color auto="1"/>
      </bottom>
      <diagonal/>
    </border>
    <border>
      <left/>
      <right style="thin">
        <color auto="1"/>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style="thin">
        <color auto="1"/>
      </bottom>
      <diagonal/>
    </border>
  </borders>
  <cellStyleXfs count="7">
    <xf numFmtId="0" fontId="0" fillId="0" borderId="0"/>
    <xf numFmtId="164" fontId="54" fillId="0" borderId="0" applyBorder="0" applyProtection="0"/>
    <xf numFmtId="0" fontId="1" fillId="0" borderId="0" applyBorder="0" applyProtection="0"/>
    <xf numFmtId="0" fontId="2" fillId="0" borderId="0"/>
    <xf numFmtId="0" fontId="54" fillId="0" borderId="0"/>
    <xf numFmtId="0" fontId="3" fillId="0" borderId="0"/>
    <xf numFmtId="0" fontId="4" fillId="0" borderId="0"/>
  </cellStyleXfs>
  <cellXfs count="270">
    <xf numFmtId="0" fontId="0" fillId="0" borderId="0" xfId="0"/>
    <xf numFmtId="0" fontId="16" fillId="2" borderId="12" xfId="6" applyFont="1" applyFill="1" applyBorder="1" applyAlignment="1">
      <alignment horizontal="center" vertical="center" wrapText="1"/>
    </xf>
    <xf numFmtId="0" fontId="3" fillId="0" borderId="0" xfId="5"/>
    <xf numFmtId="0" fontId="54" fillId="0" borderId="0" xfId="4"/>
    <xf numFmtId="0" fontId="3" fillId="0" borderId="0" xfId="4" applyFont="1"/>
    <xf numFmtId="0" fontId="6" fillId="2" borderId="0" xfId="6" applyFont="1" applyFill="1" applyAlignment="1">
      <alignment horizontal="left" vertical="center"/>
    </xf>
    <xf numFmtId="0" fontId="6" fillId="3" borderId="0" xfId="6" applyFont="1" applyFill="1" applyAlignment="1">
      <alignment horizontal="left" vertical="center"/>
    </xf>
    <xf numFmtId="0" fontId="6" fillId="4" borderId="0" xfId="6" applyFont="1" applyFill="1" applyAlignment="1">
      <alignment horizontal="left" vertical="center"/>
    </xf>
    <xf numFmtId="0" fontId="54" fillId="0" borderId="1" xfId="4" applyBorder="1"/>
    <xf numFmtId="0" fontId="54" fillId="0" borderId="2" xfId="4" applyBorder="1"/>
    <xf numFmtId="0" fontId="6" fillId="3" borderId="3" xfId="6" applyFont="1" applyFill="1" applyBorder="1" applyAlignment="1">
      <alignment horizontal="left" vertical="center"/>
    </xf>
    <xf numFmtId="0" fontId="6" fillId="3" borderId="4" xfId="6" applyFont="1" applyFill="1" applyBorder="1" applyAlignment="1">
      <alignment horizontal="left" vertical="center"/>
    </xf>
    <xf numFmtId="0" fontId="6" fillId="3" borderId="5" xfId="6" applyFont="1" applyFill="1" applyBorder="1" applyAlignment="1">
      <alignment horizontal="left" vertical="center"/>
    </xf>
    <xf numFmtId="0" fontId="6" fillId="3" borderId="6" xfId="6" applyFont="1" applyFill="1" applyBorder="1" applyAlignment="1">
      <alignment horizontal="left" vertical="center"/>
    </xf>
    <xf numFmtId="0" fontId="6" fillId="3" borderId="7" xfId="6" applyFont="1" applyFill="1" applyBorder="1" applyAlignment="1">
      <alignment horizontal="left" vertical="center"/>
    </xf>
    <xf numFmtId="0" fontId="6" fillId="3" borderId="8" xfId="6" applyFont="1" applyFill="1" applyBorder="1" applyAlignment="1">
      <alignment horizontal="left" vertical="center"/>
    </xf>
    <xf numFmtId="0" fontId="6" fillId="3" borderId="9" xfId="6" applyFont="1" applyFill="1" applyBorder="1" applyAlignment="1">
      <alignment horizontal="left" vertical="center"/>
    </xf>
    <xf numFmtId="0" fontId="6" fillId="3" borderId="10" xfId="6" applyFont="1" applyFill="1" applyBorder="1" applyAlignment="1">
      <alignment horizontal="left" vertical="center"/>
    </xf>
    <xf numFmtId="0" fontId="54" fillId="0" borderId="0" xfId="4" applyAlignment="1">
      <alignment vertical="center"/>
    </xf>
    <xf numFmtId="0" fontId="3" fillId="0" borderId="0" xfId="5" applyAlignment="1">
      <alignment vertical="center"/>
    </xf>
    <xf numFmtId="0" fontId="6" fillId="2" borderId="11" xfId="4" applyFont="1" applyFill="1" applyBorder="1" applyAlignment="1">
      <alignment horizontal="left" vertical="center" wrapText="1"/>
    </xf>
    <xf numFmtId="0" fontId="9" fillId="6" borderId="11" xfId="4" applyFont="1" applyFill="1" applyBorder="1" applyAlignment="1">
      <alignment vertical="center" wrapText="1"/>
    </xf>
    <xf numFmtId="0" fontId="9" fillId="5" borderId="0" xfId="4" applyFont="1" applyFill="1" applyAlignment="1">
      <alignment vertical="center" wrapText="1"/>
    </xf>
    <xf numFmtId="0" fontId="9" fillId="6" borderId="11" xfId="4" applyFont="1" applyFill="1" applyBorder="1" applyAlignment="1">
      <alignment vertical="center"/>
    </xf>
    <xf numFmtId="0" fontId="9" fillId="5" borderId="0" xfId="4" applyFont="1" applyFill="1" applyAlignment="1">
      <alignment vertical="center"/>
    </xf>
    <xf numFmtId="0" fontId="3" fillId="0" borderId="0" xfId="4" applyFont="1" applyAlignment="1">
      <alignment vertical="center"/>
    </xf>
    <xf numFmtId="0" fontId="10" fillId="5" borderId="0" xfId="4" applyFont="1" applyFill="1"/>
    <xf numFmtId="0" fontId="6" fillId="2" borderId="11" xfId="4" applyFont="1" applyFill="1" applyBorder="1" applyAlignment="1">
      <alignment horizontal="center" vertical="center" wrapText="1"/>
    </xf>
    <xf numFmtId="0" fontId="3" fillId="5" borderId="11" xfId="5" applyFill="1" applyBorder="1" applyAlignment="1">
      <alignment horizontal="left" vertical="center"/>
    </xf>
    <xf numFmtId="0" fontId="3" fillId="0" borderId="0" xfId="5" applyAlignment="1">
      <alignment horizontal="left"/>
    </xf>
    <xf numFmtId="0" fontId="15" fillId="0" borderId="0" xfId="0" applyFont="1"/>
    <xf numFmtId="0" fontId="16" fillId="2" borderId="12" xfId="6" applyFont="1" applyFill="1" applyBorder="1" applyAlignment="1">
      <alignment horizontal="center" vertical="center"/>
    </xf>
    <xf numFmtId="0" fontId="16" fillId="2" borderId="13" xfId="6" applyFont="1" applyFill="1" applyBorder="1" applyAlignment="1">
      <alignment horizontal="center" vertical="center"/>
    </xf>
    <xf numFmtId="0" fontId="15" fillId="0" borderId="14" xfId="0" applyFont="1" applyBorder="1" applyAlignment="1">
      <alignment horizontal="center" vertical="center"/>
    </xf>
    <xf numFmtId="165" fontId="15" fillId="5" borderId="14" xfId="0" applyNumberFormat="1" applyFont="1" applyFill="1" applyBorder="1" applyAlignment="1">
      <alignment horizontal="center" vertical="center" wrapText="1"/>
    </xf>
    <xf numFmtId="166" fontId="15" fillId="5" borderId="14" xfId="0" applyNumberFormat="1" applyFont="1" applyFill="1" applyBorder="1" applyAlignment="1">
      <alignment horizontal="center" vertical="center"/>
    </xf>
    <xf numFmtId="0" fontId="18" fillId="0" borderId="15" xfId="0" applyFont="1" applyBorder="1" applyAlignment="1">
      <alignment horizontal="center" vertical="center"/>
    </xf>
    <xf numFmtId="0" fontId="15" fillId="0" borderId="11" xfId="0" applyFont="1" applyBorder="1" applyAlignment="1">
      <alignment horizontal="center" vertical="center"/>
    </xf>
    <xf numFmtId="0" fontId="15" fillId="5" borderId="11" xfId="0" applyFont="1" applyFill="1" applyBorder="1" applyAlignment="1">
      <alignment horizontal="center" vertical="center" wrapText="1"/>
    </xf>
    <xf numFmtId="166" fontId="15" fillId="5" borderId="11" xfId="0" applyNumberFormat="1" applyFont="1" applyFill="1" applyBorder="1" applyAlignment="1">
      <alignment horizontal="center" vertical="center"/>
    </xf>
    <xf numFmtId="0" fontId="15" fillId="5" borderId="11" xfId="0" applyFont="1" applyFill="1" applyBorder="1" applyAlignment="1">
      <alignment vertical="center" wrapText="1"/>
    </xf>
    <xf numFmtId="0" fontId="15" fillId="5" borderId="14" xfId="0" applyFont="1" applyFill="1" applyBorder="1" applyAlignment="1">
      <alignment vertical="center" wrapText="1"/>
    </xf>
    <xf numFmtId="0" fontId="7" fillId="5" borderId="0" xfId="0" applyFont="1" applyFill="1"/>
    <xf numFmtId="0" fontId="7" fillId="5" borderId="0" xfId="0" applyFont="1" applyFill="1" applyAlignment="1">
      <alignment horizontal="center"/>
    </xf>
    <xf numFmtId="0" fontId="0" fillId="0" borderId="0" xfId="0" applyAlignment="1">
      <alignment vertical="center"/>
    </xf>
    <xf numFmtId="0" fontId="7" fillId="5" borderId="0" xfId="0" applyFont="1" applyFill="1" applyAlignment="1">
      <alignment vertical="center"/>
    </xf>
    <xf numFmtId="0" fontId="6" fillId="2" borderId="16" xfId="4" applyFont="1" applyFill="1" applyBorder="1" applyAlignment="1">
      <alignment horizontal="center" vertical="center" wrapText="1"/>
    </xf>
    <xf numFmtId="0" fontId="7" fillId="5" borderId="11" xfId="0" applyFont="1" applyFill="1" applyBorder="1" applyAlignment="1">
      <alignment horizontal="center" vertical="center" wrapText="1"/>
    </xf>
    <xf numFmtId="0" fontId="1" fillId="5" borderId="11" xfId="2" applyFill="1" applyBorder="1" applyAlignment="1" applyProtection="1">
      <alignment vertical="center" wrapText="1"/>
    </xf>
    <xf numFmtId="0" fontId="7" fillId="5" borderId="16" xfId="0" applyFont="1" applyFill="1" applyBorder="1" applyAlignment="1">
      <alignment horizontal="left" vertical="center" wrapText="1"/>
    </xf>
    <xf numFmtId="0" fontId="7" fillId="5" borderId="11" xfId="0" applyFont="1" applyFill="1" applyBorder="1" applyAlignment="1">
      <alignment horizontal="center" vertical="center"/>
    </xf>
    <xf numFmtId="0" fontId="1" fillId="0" borderId="0" xfId="2" applyBorder="1" applyAlignment="1" applyProtection="1">
      <alignment horizontal="left" vertical="center"/>
    </xf>
    <xf numFmtId="0" fontId="7" fillId="5" borderId="0" xfId="0" applyFont="1" applyFill="1" applyAlignment="1">
      <alignment horizontal="center" vertical="center"/>
    </xf>
    <xf numFmtId="0" fontId="25" fillId="0" borderId="0" xfId="0" applyFont="1" applyAlignment="1">
      <alignment vertical="center"/>
    </xf>
    <xf numFmtId="0" fontId="27" fillId="5" borderId="0" xfId="0" applyFont="1" applyFill="1"/>
    <xf numFmtId="0" fontId="6" fillId="2" borderId="11" xfId="4" applyFont="1" applyFill="1" applyBorder="1" applyAlignment="1">
      <alignment vertical="center" wrapText="1"/>
    </xf>
    <xf numFmtId="0" fontId="28" fillId="0" borderId="11" xfId="4" applyFont="1" applyBorder="1" applyAlignment="1">
      <alignment vertical="center" wrapText="1"/>
    </xf>
    <xf numFmtId="0" fontId="6" fillId="2" borderId="11" xfId="4" applyFont="1" applyFill="1" applyBorder="1" applyAlignment="1">
      <alignment horizontal="left" vertical="top"/>
    </xf>
    <xf numFmtId="0" fontId="23" fillId="5" borderId="11" xfId="0" applyFont="1" applyFill="1" applyBorder="1" applyAlignment="1">
      <alignment vertical="top"/>
    </xf>
    <xf numFmtId="0" fontId="6" fillId="2" borderId="11" xfId="4" applyFont="1" applyFill="1" applyBorder="1" applyAlignment="1">
      <alignment vertical="top" wrapText="1"/>
    </xf>
    <xf numFmtId="0" fontId="23" fillId="5" borderId="11" xfId="0" applyFont="1" applyFill="1" applyBorder="1" applyAlignment="1">
      <alignment vertical="center"/>
    </xf>
    <xf numFmtId="0" fontId="23" fillId="5" borderId="11" xfId="0" applyFont="1" applyFill="1" applyBorder="1" applyAlignment="1">
      <alignment horizontal="left" vertical="top" wrapText="1"/>
    </xf>
    <xf numFmtId="0" fontId="7" fillId="5" borderId="0" xfId="0" applyFont="1" applyFill="1" applyAlignment="1">
      <alignment vertical="top"/>
    </xf>
    <xf numFmtId="0" fontId="6" fillId="2" borderId="14" xfId="4" applyFont="1" applyFill="1" applyBorder="1" applyAlignment="1">
      <alignment horizontal="center"/>
    </xf>
    <xf numFmtId="0" fontId="6" fillId="2" borderId="17" xfId="4" applyFont="1" applyFill="1" applyBorder="1" applyAlignment="1">
      <alignment horizontal="center" wrapText="1"/>
    </xf>
    <xf numFmtId="0" fontId="7" fillId="5" borderId="11" xfId="0" applyFont="1" applyFill="1" applyBorder="1" applyAlignment="1">
      <alignment horizontal="center" vertical="top" wrapText="1"/>
    </xf>
    <xf numFmtId="0" fontId="29" fillId="2" borderId="16" xfId="4" applyFont="1" applyFill="1" applyBorder="1" applyAlignment="1">
      <alignment horizontal="center" vertical="center" wrapText="1"/>
    </xf>
    <xf numFmtId="0" fontId="23" fillId="5" borderId="11" xfId="0" applyFont="1" applyFill="1" applyBorder="1" applyAlignment="1">
      <alignment vertical="center" wrapText="1"/>
    </xf>
    <xf numFmtId="0" fontId="29" fillId="5" borderId="11" xfId="0" applyFont="1" applyFill="1" applyBorder="1" applyAlignment="1">
      <alignment horizontal="center" vertical="top" wrapText="1"/>
    </xf>
    <xf numFmtId="0" fontId="7" fillId="5" borderId="11" xfId="0" applyFont="1" applyFill="1" applyBorder="1"/>
    <xf numFmtId="165" fontId="23" fillId="7" borderId="11" xfId="0" applyNumberFormat="1" applyFont="1" applyFill="1" applyBorder="1" applyAlignment="1">
      <alignment vertical="top" wrapText="1"/>
    </xf>
    <xf numFmtId="0" fontId="29" fillId="2" borderId="11" xfId="4" applyFont="1" applyFill="1" applyBorder="1" applyAlignment="1">
      <alignment horizontal="center" vertical="center" wrapText="1"/>
    </xf>
    <xf numFmtId="0" fontId="7" fillId="5" borderId="11" xfId="0" applyFont="1" applyFill="1" applyBorder="1" applyAlignment="1">
      <alignment horizontal="center"/>
    </xf>
    <xf numFmtId="165" fontId="30" fillId="5" borderId="11" xfId="0" applyNumberFormat="1" applyFont="1" applyFill="1" applyBorder="1" applyAlignment="1">
      <alignment vertical="top" wrapText="1"/>
    </xf>
    <xf numFmtId="0" fontId="29" fillId="5" borderId="0" xfId="0" applyFont="1" applyFill="1"/>
    <xf numFmtId="0" fontId="29" fillId="5" borderId="0" xfId="0" applyFont="1" applyFill="1" applyAlignment="1">
      <alignment horizontal="center"/>
    </xf>
    <xf numFmtId="0" fontId="29" fillId="5" borderId="11" xfId="0" applyFont="1" applyFill="1" applyBorder="1" applyAlignment="1">
      <alignment horizontal="center" vertical="center" wrapText="1"/>
    </xf>
    <xf numFmtId="165" fontId="30" fillId="7" borderId="11" xfId="0" applyNumberFormat="1" applyFont="1" applyFill="1" applyBorder="1" applyAlignment="1">
      <alignment vertical="top" wrapText="1"/>
    </xf>
    <xf numFmtId="0" fontId="7" fillId="5" borderId="0" xfId="0" applyFont="1" applyFill="1" applyAlignment="1">
      <alignment horizontal="center" vertical="center" wrapText="1"/>
    </xf>
    <xf numFmtId="165" fontId="30" fillId="5" borderId="0" xfId="0" applyNumberFormat="1" applyFont="1" applyFill="1" applyAlignment="1">
      <alignment vertical="top" wrapText="1"/>
    </xf>
    <xf numFmtId="0" fontId="7" fillId="5" borderId="0" xfId="0" applyFont="1" applyFill="1" applyAlignment="1">
      <alignment vertical="top" wrapText="1"/>
    </xf>
    <xf numFmtId="0" fontId="29" fillId="5" borderId="11" xfId="0" applyFont="1" applyFill="1" applyBorder="1" applyAlignment="1">
      <alignment horizontal="left" vertical="top" wrapText="1"/>
    </xf>
    <xf numFmtId="0" fontId="30" fillId="5" borderId="11" xfId="0" applyFont="1" applyFill="1" applyBorder="1" applyAlignment="1">
      <alignment horizontal="left" vertical="top" wrapText="1"/>
    </xf>
    <xf numFmtId="165" fontId="30" fillId="7" borderId="11" xfId="0" applyNumberFormat="1" applyFont="1" applyFill="1" applyBorder="1" applyAlignment="1">
      <alignment horizontal="left" vertical="top" wrapText="1"/>
    </xf>
    <xf numFmtId="0" fontId="7" fillId="5" borderId="0" xfId="0" applyFont="1" applyFill="1" applyAlignment="1">
      <alignment horizontal="center" vertical="top" wrapText="1"/>
    </xf>
    <xf numFmtId="0" fontId="30" fillId="5" borderId="0" xfId="0" applyFont="1" applyFill="1"/>
    <xf numFmtId="0" fontId="30" fillId="5" borderId="11" xfId="0" applyFont="1" applyFill="1" applyBorder="1" applyAlignment="1">
      <alignment horizontal="left" vertical="center" wrapText="1"/>
    </xf>
    <xf numFmtId="0" fontId="7" fillId="5" borderId="11" xfId="0" applyFont="1" applyFill="1" applyBorder="1" applyAlignment="1">
      <alignment vertical="top" wrapText="1"/>
    </xf>
    <xf numFmtId="0" fontId="6" fillId="8" borderId="11" xfId="4" applyFont="1" applyFill="1" applyBorder="1" applyAlignment="1">
      <alignment horizontal="center" vertical="center" wrapText="1"/>
    </xf>
    <xf numFmtId="0" fontId="7" fillId="5" borderId="0" xfId="0" applyFont="1" applyFill="1" applyAlignment="1">
      <alignment wrapText="1"/>
    </xf>
    <xf numFmtId="0" fontId="7" fillId="5" borderId="0" xfId="0" applyFont="1" applyFill="1" applyAlignment="1">
      <alignment horizontal="center" wrapText="1"/>
    </xf>
    <xf numFmtId="0" fontId="7" fillId="5" borderId="0" xfId="0" applyFont="1" applyFill="1" applyAlignment="1">
      <alignment vertical="center" wrapText="1"/>
    </xf>
    <xf numFmtId="165" fontId="7" fillId="5" borderId="11" xfId="0" applyNumberFormat="1" applyFont="1" applyFill="1" applyBorder="1" applyAlignment="1">
      <alignment vertical="top" wrapText="1"/>
    </xf>
    <xf numFmtId="0" fontId="22" fillId="0" borderId="11" xfId="0" applyFont="1" applyBorder="1" applyAlignment="1">
      <alignment vertical="center" wrapText="1"/>
    </xf>
    <xf numFmtId="0" fontId="22" fillId="0" borderId="0" xfId="0" applyFont="1" applyAlignment="1">
      <alignment vertical="center" wrapText="1"/>
    </xf>
    <xf numFmtId="0" fontId="22" fillId="0" borderId="0" xfId="0" applyFont="1" applyAlignment="1">
      <alignment horizontal="left" vertical="center" wrapText="1"/>
    </xf>
    <xf numFmtId="0" fontId="15" fillId="5" borderId="0" xfId="0" applyFont="1" applyFill="1" applyAlignment="1">
      <alignment vertical="top"/>
    </xf>
    <xf numFmtId="0" fontId="32" fillId="5" borderId="0" xfId="0" applyFont="1" applyFill="1" applyAlignment="1">
      <alignment horizontal="center" vertical="top"/>
    </xf>
    <xf numFmtId="0" fontId="21" fillId="5" borderId="0" xfId="0" applyFont="1" applyFill="1" applyAlignment="1">
      <alignment horizontal="center" vertical="top"/>
    </xf>
    <xf numFmtId="0" fontId="16" fillId="2" borderId="11" xfId="4" applyFont="1" applyFill="1" applyBorder="1" applyAlignment="1">
      <alignment horizontal="center" vertical="center" wrapText="1"/>
    </xf>
    <xf numFmtId="0" fontId="16" fillId="2" borderId="16" xfId="4" applyFont="1" applyFill="1" applyBorder="1" applyAlignment="1">
      <alignment horizontal="center" vertical="center" wrapText="1"/>
    </xf>
    <xf numFmtId="0" fontId="33" fillId="2" borderId="11" xfId="4" applyFont="1" applyFill="1" applyBorder="1" applyAlignment="1">
      <alignment horizontal="center" vertical="center" wrapText="1"/>
    </xf>
    <xf numFmtId="0" fontId="7" fillId="5" borderId="0" xfId="0" applyFont="1" applyFill="1" applyAlignment="1">
      <alignment horizontal="left" vertical="top"/>
    </xf>
    <xf numFmtId="0" fontId="33" fillId="7" borderId="11" xfId="0" applyFont="1" applyFill="1" applyBorder="1" applyAlignment="1">
      <alignment horizontal="center" vertical="center" wrapText="1"/>
    </xf>
    <xf numFmtId="0" fontId="34" fillId="7" borderId="11" xfId="0" applyFont="1" applyFill="1" applyBorder="1" applyAlignment="1">
      <alignment horizontal="left" vertical="center" wrapText="1"/>
    </xf>
    <xf numFmtId="0" fontId="34" fillId="7" borderId="16" xfId="0" applyFont="1" applyFill="1" applyBorder="1" applyAlignment="1">
      <alignment horizontal="left" vertical="center" wrapText="1"/>
    </xf>
    <xf numFmtId="0" fontId="32" fillId="5" borderId="0" xfId="0" applyFont="1" applyFill="1" applyAlignment="1">
      <alignment horizontal="left" vertical="top"/>
    </xf>
    <xf numFmtId="0" fontId="21" fillId="5" borderId="0" xfId="0" applyFont="1" applyFill="1" applyAlignment="1">
      <alignment horizontal="left" vertical="top"/>
    </xf>
    <xf numFmtId="0" fontId="33" fillId="6" borderId="11" xfId="0" applyFont="1" applyFill="1" applyBorder="1" applyAlignment="1">
      <alignment horizontal="center" vertical="center" wrapText="1"/>
    </xf>
    <xf numFmtId="0" fontId="34" fillId="6" borderId="11" xfId="0" applyFont="1" applyFill="1" applyBorder="1" applyAlignment="1">
      <alignment horizontal="left" vertical="center"/>
    </xf>
    <xf numFmtId="0" fontId="34" fillId="6" borderId="11" xfId="0" applyFont="1" applyFill="1" applyBorder="1" applyAlignment="1">
      <alignment horizontal="left" vertical="center" wrapText="1"/>
    </xf>
    <xf numFmtId="0" fontId="34" fillId="6" borderId="16" xfId="0" applyFont="1" applyFill="1" applyBorder="1" applyAlignment="1">
      <alignment horizontal="left" vertical="center" wrapText="1"/>
    </xf>
    <xf numFmtId="0" fontId="15" fillId="7" borderId="11" xfId="0" applyFont="1" applyFill="1" applyBorder="1" applyAlignment="1">
      <alignment horizontal="center" vertical="center" wrapText="1"/>
    </xf>
    <xf numFmtId="0" fontId="35" fillId="7" borderId="11" xfId="0" applyFont="1" applyFill="1" applyBorder="1" applyAlignment="1">
      <alignment horizontal="left" vertical="center"/>
    </xf>
    <xf numFmtId="0" fontId="35" fillId="7" borderId="11" xfId="0" applyFont="1" applyFill="1" applyBorder="1" applyAlignment="1">
      <alignment horizontal="left" vertical="center" wrapText="1"/>
    </xf>
    <xf numFmtId="0" fontId="35" fillId="7" borderId="16" xfId="0" applyFont="1" applyFill="1" applyBorder="1" applyAlignment="1">
      <alignment horizontal="left" vertical="center" wrapText="1"/>
    </xf>
    <xf numFmtId="0" fontId="35" fillId="5" borderId="11" xfId="0" applyFont="1" applyFill="1" applyBorder="1" applyAlignment="1">
      <alignment horizontal="left" vertical="center" wrapText="1"/>
    </xf>
    <xf numFmtId="0" fontId="35" fillId="5" borderId="16" xfId="0" applyFont="1" applyFill="1" applyBorder="1" applyAlignment="1">
      <alignment horizontal="left" vertical="center" wrapText="1"/>
    </xf>
    <xf numFmtId="0" fontId="34" fillId="5" borderId="11" xfId="0" applyFont="1" applyFill="1" applyBorder="1" applyAlignment="1">
      <alignment horizontal="left" vertical="center" wrapText="1"/>
    </xf>
    <xf numFmtId="0" fontId="7" fillId="5" borderId="0" xfId="0" applyFont="1" applyFill="1" applyAlignment="1">
      <alignment horizontal="left" vertical="center"/>
    </xf>
    <xf numFmtId="0" fontId="33" fillId="5" borderId="11" xfId="0" applyFont="1" applyFill="1" applyBorder="1" applyAlignment="1">
      <alignment horizontal="center" vertical="center" wrapText="1"/>
    </xf>
    <xf numFmtId="0" fontId="34" fillId="5" borderId="16" xfId="0" applyFont="1" applyFill="1" applyBorder="1" applyAlignment="1">
      <alignment horizontal="left" vertical="center" wrapText="1"/>
    </xf>
    <xf numFmtId="0" fontId="32" fillId="5" borderId="0" xfId="0" applyFont="1" applyFill="1" applyAlignment="1">
      <alignment horizontal="left" vertical="center"/>
    </xf>
    <xf numFmtId="0" fontId="21" fillId="5" borderId="0" xfId="0" applyFont="1" applyFill="1" applyAlignment="1">
      <alignment horizontal="left" vertical="center"/>
    </xf>
    <xf numFmtId="0" fontId="15" fillId="5" borderId="0" xfId="0" applyFont="1" applyFill="1" applyAlignment="1">
      <alignment horizontal="center" vertical="center" wrapText="1"/>
    </xf>
    <xf numFmtId="0" fontId="35" fillId="5" borderId="0" xfId="0" applyFont="1" applyFill="1" applyAlignment="1">
      <alignment vertical="center" wrapText="1"/>
    </xf>
    <xf numFmtId="0" fontId="15" fillId="5" borderId="0" xfId="0" applyFont="1" applyFill="1"/>
    <xf numFmtId="0" fontId="35" fillId="5" borderId="0" xfId="0" applyFont="1" applyFill="1" applyAlignment="1">
      <alignment horizontal="left" vertical="center"/>
    </xf>
    <xf numFmtId="0" fontId="23" fillId="5" borderId="0" xfId="0" applyFont="1" applyFill="1" applyAlignment="1">
      <alignment vertical="center"/>
    </xf>
    <xf numFmtId="0" fontId="15" fillId="5" borderId="11" xfId="0" applyFont="1" applyFill="1" applyBorder="1" applyAlignment="1">
      <alignment horizontal="center" vertical="top" wrapText="1"/>
    </xf>
    <xf numFmtId="0" fontId="35" fillId="5" borderId="11" xfId="0" applyFont="1" applyFill="1" applyBorder="1" applyAlignment="1">
      <alignment vertical="top"/>
    </xf>
    <xf numFmtId="0" fontId="35" fillId="5" borderId="11" xfId="0" applyFont="1" applyFill="1" applyBorder="1" applyAlignment="1">
      <alignment horizontal="left" vertical="top" wrapText="1"/>
    </xf>
    <xf numFmtId="0" fontId="35" fillId="5" borderId="11" xfId="0" applyFont="1" applyFill="1" applyBorder="1" applyAlignment="1">
      <alignment horizontal="left" vertical="top"/>
    </xf>
    <xf numFmtId="0" fontId="35" fillId="5" borderId="0" xfId="0" applyFont="1" applyFill="1" applyAlignment="1">
      <alignment horizontal="left" vertical="top" wrapText="1"/>
    </xf>
    <xf numFmtId="0" fontId="35" fillId="5" borderId="11" xfId="0" applyFont="1" applyFill="1" applyBorder="1" applyAlignment="1">
      <alignment vertical="center" wrapText="1"/>
    </xf>
    <xf numFmtId="0" fontId="35" fillId="5" borderId="11" xfId="0" applyFont="1" applyFill="1" applyBorder="1" applyAlignment="1">
      <alignment vertical="center"/>
    </xf>
    <xf numFmtId="0" fontId="34" fillId="5" borderId="11" xfId="0" applyFont="1" applyFill="1" applyBorder="1" applyAlignment="1">
      <alignment vertical="top" wrapText="1"/>
    </xf>
    <xf numFmtId="0" fontId="34" fillId="5" borderId="11" xfId="0" applyFont="1" applyFill="1" applyBorder="1" applyAlignment="1">
      <alignment vertical="center" wrapText="1"/>
    </xf>
    <xf numFmtId="0" fontId="20" fillId="0" borderId="0" xfId="0" applyFont="1" applyAlignment="1">
      <alignment horizontal="center" vertical="center"/>
    </xf>
    <xf numFmtId="164" fontId="21" fillId="0" borderId="0" xfId="1" applyFont="1" applyBorder="1" applyAlignment="1" applyProtection="1">
      <alignment horizontal="center" vertical="center"/>
    </xf>
    <xf numFmtId="0" fontId="35" fillId="5" borderId="16" xfId="0" applyFont="1" applyFill="1" applyBorder="1" applyAlignment="1">
      <alignment horizontal="left" vertical="center"/>
    </xf>
    <xf numFmtId="0" fontId="35" fillId="5" borderId="0" xfId="0" applyFont="1" applyFill="1" applyAlignment="1">
      <alignment vertical="center"/>
    </xf>
    <xf numFmtId="0" fontId="37" fillId="5" borderId="11" xfId="0" applyFont="1" applyFill="1" applyBorder="1" applyAlignment="1">
      <alignment vertical="center" wrapText="1"/>
    </xf>
    <xf numFmtId="0" fontId="38" fillId="5" borderId="0" xfId="0" applyFont="1" applyFill="1" applyAlignment="1">
      <alignment vertical="top"/>
    </xf>
    <xf numFmtId="0" fontId="39" fillId="0" borderId="0" xfId="0" applyFont="1" applyAlignment="1">
      <alignment vertical="top"/>
    </xf>
    <xf numFmtId="0" fontId="43" fillId="0" borderId="0" xfId="0" applyFont="1" applyAlignment="1">
      <alignment horizontal="left" vertical="top" wrapText="1"/>
    </xf>
    <xf numFmtId="0" fontId="44" fillId="5" borderId="0" xfId="0" applyFont="1" applyFill="1" applyAlignment="1">
      <alignment horizontal="center" vertical="top"/>
    </xf>
    <xf numFmtId="0" fontId="38" fillId="5" borderId="0" xfId="0" applyFont="1" applyFill="1" applyAlignment="1">
      <alignment horizontal="center" vertical="top"/>
    </xf>
    <xf numFmtId="0" fontId="45" fillId="2" borderId="20" xfId="4" applyFont="1" applyFill="1" applyBorder="1" applyAlignment="1">
      <alignment vertical="top" wrapText="1"/>
    </xf>
    <xf numFmtId="0" fontId="45" fillId="2" borderId="11" xfId="4" applyFont="1" applyFill="1" applyBorder="1" applyAlignment="1">
      <alignment horizontal="center" vertical="top" wrapText="1"/>
    </xf>
    <xf numFmtId="0" fontId="45" fillId="2" borderId="21" xfId="4" applyFont="1" applyFill="1" applyBorder="1" applyAlignment="1">
      <alignment vertical="top"/>
    </xf>
    <xf numFmtId="0" fontId="45" fillId="2" borderId="22" xfId="4" applyFont="1" applyFill="1" applyBorder="1" applyAlignment="1">
      <alignment vertical="top" wrapText="1"/>
    </xf>
    <xf numFmtId="0" fontId="46" fillId="2" borderId="18" xfId="4" applyFont="1" applyFill="1" applyBorder="1" applyAlignment="1">
      <alignment horizontal="center" vertical="top" wrapText="1"/>
    </xf>
    <xf numFmtId="0" fontId="46" fillId="2" borderId="11" xfId="4" applyFont="1" applyFill="1" applyBorder="1" applyAlignment="1">
      <alignment horizontal="center" vertical="top" wrapText="1"/>
    </xf>
    <xf numFmtId="0" fontId="38" fillId="7" borderId="11" xfId="0" applyFont="1" applyFill="1" applyBorder="1" applyAlignment="1">
      <alignment horizontal="center" vertical="top" wrapText="1"/>
    </xf>
    <xf numFmtId="0" fontId="47" fillId="7" borderId="11" xfId="0" applyFont="1" applyFill="1" applyBorder="1" applyAlignment="1">
      <alignment vertical="center" wrapText="1"/>
    </xf>
    <xf numFmtId="0" fontId="47" fillId="6" borderId="11" xfId="0" applyFont="1" applyFill="1" applyBorder="1" applyAlignment="1">
      <alignment horizontal="center" vertical="center" wrapText="1"/>
    </xf>
    <xf numFmtId="0" fontId="48" fillId="5" borderId="11" xfId="0" applyFont="1" applyFill="1" applyBorder="1" applyAlignment="1">
      <alignment vertical="top" wrapText="1"/>
    </xf>
    <xf numFmtId="49" fontId="46" fillId="7" borderId="18" xfId="0" applyNumberFormat="1" applyFont="1" applyFill="1" applyBorder="1" applyAlignment="1">
      <alignment horizontal="center" vertical="top"/>
    </xf>
    <xf numFmtId="49" fontId="46" fillId="7" borderId="11" xfId="0" applyNumberFormat="1" applyFont="1" applyFill="1" applyBorder="1" applyAlignment="1">
      <alignment horizontal="center" vertical="top"/>
    </xf>
    <xf numFmtId="0" fontId="48" fillId="6" borderId="11" xfId="0" applyFont="1" applyFill="1" applyBorder="1" applyAlignment="1">
      <alignment horizontal="center" vertical="center" wrapText="1"/>
    </xf>
    <xf numFmtId="0" fontId="47" fillId="5" borderId="0" xfId="0" applyFont="1" applyFill="1" applyAlignment="1">
      <alignment vertical="top"/>
    </xf>
    <xf numFmtId="0" fontId="49" fillId="5" borderId="0" xfId="0" applyFont="1" applyFill="1" applyAlignment="1">
      <alignment horizontal="center" vertical="top"/>
    </xf>
    <xf numFmtId="0" fontId="50" fillId="2" borderId="11" xfId="4" applyFont="1" applyFill="1" applyBorder="1" applyAlignment="1">
      <alignment horizontal="center" vertical="top" wrapText="1"/>
    </xf>
    <xf numFmtId="0" fontId="50" fillId="2" borderId="21" xfId="4" applyFont="1" applyFill="1" applyBorder="1" applyAlignment="1">
      <alignment horizontal="center" vertical="top" wrapText="1"/>
    </xf>
    <xf numFmtId="0" fontId="47" fillId="7" borderId="11" xfId="0" applyFont="1" applyFill="1" applyBorder="1" applyAlignment="1">
      <alignment vertical="top" wrapText="1"/>
    </xf>
    <xf numFmtId="0" fontId="47" fillId="6" borderId="11" xfId="0" applyFont="1" applyFill="1" applyBorder="1" applyAlignment="1">
      <alignment vertical="top" wrapText="1"/>
    </xf>
    <xf numFmtId="9" fontId="47" fillId="6" borderId="11" xfId="0" applyNumberFormat="1" applyFont="1" applyFill="1" applyBorder="1" applyAlignment="1">
      <alignment vertical="top" wrapText="1"/>
    </xf>
    <xf numFmtId="0" fontId="48" fillId="6" borderId="11" xfId="0" applyFont="1" applyFill="1" applyBorder="1" applyAlignment="1">
      <alignment vertical="top" wrapText="1"/>
    </xf>
    <xf numFmtId="0" fontId="47" fillId="5" borderId="0" xfId="0" applyFont="1" applyFill="1" applyAlignment="1">
      <alignment horizontal="center" vertical="top" wrapText="1"/>
    </xf>
    <xf numFmtId="0" fontId="47" fillId="5" borderId="0" xfId="0" applyFont="1" applyFill="1" applyAlignment="1">
      <alignment vertical="top" wrapText="1"/>
    </xf>
    <xf numFmtId="0" fontId="47" fillId="5" borderId="0" xfId="0" applyFont="1" applyFill="1" applyAlignment="1">
      <alignment horizontal="left" vertical="top"/>
    </xf>
    <xf numFmtId="0" fontId="38" fillId="5" borderId="0" xfId="0" applyFont="1" applyFill="1" applyAlignment="1">
      <alignment horizontal="left" vertical="top" wrapText="1"/>
    </xf>
    <xf numFmtId="0" fontId="47" fillId="7" borderId="11" xfId="0" applyFont="1" applyFill="1" applyBorder="1" applyAlignment="1">
      <alignment horizontal="left" vertical="top" wrapText="1"/>
    </xf>
    <xf numFmtId="0" fontId="15" fillId="5" borderId="0" xfId="0" applyFont="1" applyFill="1" applyAlignment="1">
      <alignment vertical="center"/>
    </xf>
    <xf numFmtId="0" fontId="53" fillId="0" borderId="0" xfId="0" applyFont="1"/>
    <xf numFmtId="0" fontId="16" fillId="2" borderId="11" xfId="4" applyFont="1" applyFill="1" applyBorder="1" applyAlignment="1">
      <alignment horizontal="center" vertical="top" wrapText="1"/>
    </xf>
    <xf numFmtId="0" fontId="15" fillId="0" borderId="0" xfId="0" applyFont="1" applyAlignment="1">
      <alignment vertical="top"/>
    </xf>
    <xf numFmtId="0" fontId="0" fillId="0" borderId="0" xfId="0" applyAlignment="1">
      <alignment vertical="top"/>
    </xf>
    <xf numFmtId="0" fontId="15" fillId="5" borderId="11" xfId="0" applyFont="1" applyFill="1" applyBorder="1" applyAlignment="1">
      <alignment vertical="top" wrapText="1"/>
    </xf>
    <xf numFmtId="14" fontId="9" fillId="6" borderId="11" xfId="4" applyNumberFormat="1" applyFont="1" applyFill="1" applyBorder="1" applyAlignment="1">
      <alignment vertical="center"/>
    </xf>
    <xf numFmtId="14" fontId="9" fillId="6" borderId="11" xfId="4" applyNumberFormat="1" applyFont="1" applyFill="1" applyBorder="1" applyAlignment="1">
      <alignment vertical="center" wrapText="1"/>
    </xf>
    <xf numFmtId="14" fontId="28" fillId="0" borderId="11" xfId="4" applyNumberFormat="1" applyFont="1" applyBorder="1" applyAlignment="1">
      <alignment vertical="center" wrapText="1"/>
    </xf>
    <xf numFmtId="14" fontId="35" fillId="10" borderId="11" xfId="0" applyNumberFormat="1" applyFont="1" applyFill="1" applyBorder="1" applyAlignment="1">
      <alignment vertical="top"/>
    </xf>
    <xf numFmtId="0" fontId="6" fillId="2" borderId="0" xfId="4" applyFont="1" applyFill="1" applyAlignment="1">
      <alignment horizontal="left" vertical="top"/>
    </xf>
    <xf numFmtId="0" fontId="55" fillId="0" borderId="11" xfId="0" applyFont="1" applyBorder="1" applyAlignment="1">
      <alignment vertical="center" wrapText="1"/>
    </xf>
    <xf numFmtId="0" fontId="55" fillId="0" borderId="11" xfId="0" applyFont="1" applyBorder="1"/>
    <xf numFmtId="0" fontId="15" fillId="10" borderId="11" xfId="0" applyFont="1" applyFill="1" applyBorder="1" applyAlignment="1">
      <alignment horizontal="center" vertical="center" wrapText="1"/>
    </xf>
    <xf numFmtId="0" fontId="15" fillId="10" borderId="11" xfId="0" applyFont="1" applyFill="1" applyBorder="1"/>
    <xf numFmtId="0" fontId="15" fillId="10" borderId="16" xfId="0" applyFont="1" applyFill="1" applyBorder="1" applyAlignment="1">
      <alignment horizontal="center" vertical="center" wrapText="1"/>
    </xf>
    <xf numFmtId="0" fontId="56" fillId="0" borderId="11" xfId="0" applyFont="1" applyBorder="1" applyAlignment="1">
      <alignment vertical="center"/>
    </xf>
    <xf numFmtId="0" fontId="33" fillId="5" borderId="0" xfId="0" applyFont="1" applyFill="1" applyAlignment="1">
      <alignment vertical="top"/>
    </xf>
    <xf numFmtId="0" fontId="33" fillId="5" borderId="0" xfId="0" applyFont="1" applyFill="1"/>
    <xf numFmtId="0" fontId="33" fillId="5" borderId="11" xfId="0" applyFont="1" applyFill="1" applyBorder="1"/>
    <xf numFmtId="0" fontId="34" fillId="5" borderId="11" xfId="0" applyFont="1" applyFill="1" applyBorder="1" applyAlignment="1">
      <alignment vertical="center"/>
    </xf>
    <xf numFmtId="0" fontId="33" fillId="5" borderId="11" xfId="0" applyFont="1" applyFill="1" applyBorder="1" applyAlignment="1">
      <alignment horizontal="center" vertical="top" wrapText="1"/>
    </xf>
    <xf numFmtId="0" fontId="5" fillId="2" borderId="0" xfId="4" applyFont="1" applyFill="1" applyAlignment="1">
      <alignment horizontal="center" vertical="center"/>
    </xf>
    <xf numFmtId="0" fontId="7" fillId="5" borderId="0" xfId="4" applyFont="1" applyFill="1"/>
    <xf numFmtId="0" fontId="8" fillId="3" borderId="0" xfId="6" applyFont="1" applyFill="1" applyAlignment="1">
      <alignment horizontal="center" vertical="center" wrapText="1"/>
    </xf>
    <xf numFmtId="0" fontId="11" fillId="0" borderId="11" xfId="0" applyFont="1" applyBorder="1" applyAlignment="1">
      <alignment horizontal="center" vertical="center"/>
    </xf>
    <xf numFmtId="164" fontId="12" fillId="0" borderId="11" xfId="1" applyFont="1" applyBorder="1" applyAlignment="1" applyProtection="1">
      <alignment horizontal="center" vertical="center"/>
    </xf>
    <xf numFmtId="0" fontId="13" fillId="0" borderId="11" xfId="0" applyFont="1" applyBorder="1" applyAlignment="1">
      <alignment horizontal="left" vertical="center" wrapText="1"/>
    </xf>
    <xf numFmtId="0" fontId="14" fillId="0" borderId="11" xfId="0" applyFont="1" applyBorder="1" applyAlignment="1">
      <alignment horizontal="left" vertical="center" wrapText="1"/>
    </xf>
    <xf numFmtId="0" fontId="12" fillId="0" borderId="0" xfId="0" applyFont="1" applyAlignment="1">
      <alignment horizontal="center" vertical="center" wrapText="1"/>
    </xf>
    <xf numFmtId="0" fontId="15" fillId="0" borderId="0" xfId="0" applyFont="1" applyAlignment="1">
      <alignment horizontal="center" vertical="top"/>
    </xf>
    <xf numFmtId="0" fontId="17" fillId="2" borderId="12" xfId="6" applyFont="1" applyFill="1" applyBorder="1" applyAlignment="1">
      <alignment horizontal="center" vertical="center" wrapText="1"/>
    </xf>
    <xf numFmtId="0" fontId="16" fillId="2" borderId="12" xfId="6" applyFont="1" applyFill="1" applyBorder="1" applyAlignment="1">
      <alignment horizontal="center" vertical="center" wrapText="1"/>
    </xf>
    <xf numFmtId="0" fontId="15" fillId="5" borderId="14" xfId="0" applyFont="1" applyFill="1" applyBorder="1" applyAlignment="1">
      <alignment horizontal="center" vertical="center" wrapText="1"/>
    </xf>
    <xf numFmtId="0" fontId="15" fillId="5" borderId="14" xfId="0" applyFont="1" applyFill="1" applyBorder="1" applyAlignment="1">
      <alignment horizontal="center" vertical="center"/>
    </xf>
    <xf numFmtId="0" fontId="15" fillId="5" borderId="14" xfId="0" applyFont="1" applyFill="1" applyBorder="1" applyAlignment="1">
      <alignment horizontal="left" vertical="center" wrapText="1"/>
    </xf>
    <xf numFmtId="0" fontId="15" fillId="5" borderId="11" xfId="0" applyFont="1" applyFill="1" applyBorder="1" applyAlignment="1">
      <alignment horizontal="center" vertical="center" wrapText="1"/>
    </xf>
    <xf numFmtId="0" fontId="15" fillId="5" borderId="11" xfId="0" applyFont="1" applyFill="1" applyBorder="1" applyAlignment="1">
      <alignment horizontal="center" vertical="center"/>
    </xf>
    <xf numFmtId="0" fontId="15" fillId="5" borderId="11" xfId="0" applyFont="1" applyFill="1" applyBorder="1" applyAlignment="1">
      <alignment horizontal="left" vertical="center" wrapText="1"/>
    </xf>
    <xf numFmtId="0" fontId="20" fillId="0" borderId="11" xfId="0" applyFont="1" applyBorder="1" applyAlignment="1">
      <alignment horizontal="center" vertical="center"/>
    </xf>
    <xf numFmtId="164" fontId="21" fillId="0" borderId="11" xfId="1" applyFont="1" applyBorder="1" applyAlignment="1" applyProtection="1">
      <alignment horizontal="center" vertical="center"/>
    </xf>
    <xf numFmtId="0" fontId="22" fillId="5" borderId="11" xfId="0" applyFont="1" applyFill="1" applyBorder="1" applyAlignment="1">
      <alignment horizontal="left" vertical="center" wrapText="1"/>
    </xf>
    <xf numFmtId="0" fontId="23" fillId="5" borderId="16" xfId="0" applyFont="1" applyFill="1" applyBorder="1" applyAlignment="1">
      <alignment horizontal="left" vertical="center"/>
    </xf>
    <xf numFmtId="0" fontId="6" fillId="2" borderId="16" xfId="4" applyFont="1" applyFill="1" applyBorder="1" applyAlignment="1">
      <alignment horizontal="center" vertical="center" wrapText="1"/>
    </xf>
    <xf numFmtId="0" fontId="26" fillId="0" borderId="11" xfId="0" applyFont="1" applyBorder="1" applyAlignment="1">
      <alignment horizontal="center" vertical="center"/>
    </xf>
    <xf numFmtId="0" fontId="22" fillId="0" borderId="11" xfId="0" applyFont="1" applyBorder="1" applyAlignment="1">
      <alignment horizontal="left" vertical="center" wrapText="1"/>
    </xf>
    <xf numFmtId="0" fontId="6" fillId="2" borderId="11" xfId="4" applyFont="1" applyFill="1" applyBorder="1" applyAlignment="1">
      <alignment horizontal="left" vertical="center" wrapText="1"/>
    </xf>
    <xf numFmtId="0" fontId="28" fillId="0" borderId="11" xfId="0" applyFont="1" applyBorder="1" applyAlignment="1">
      <alignment horizontal="left" vertical="center"/>
    </xf>
    <xf numFmtId="0" fontId="6" fillId="2" borderId="16" xfId="4" applyFont="1" applyFill="1" applyBorder="1" applyAlignment="1">
      <alignment horizontal="left" vertical="top" wrapText="1"/>
    </xf>
    <xf numFmtId="0" fontId="6" fillId="2" borderId="16" xfId="4" applyFont="1" applyFill="1" applyBorder="1" applyAlignment="1">
      <alignment horizontal="left" vertical="top"/>
    </xf>
    <xf numFmtId="0" fontId="23" fillId="5" borderId="16" xfId="0" applyFont="1" applyFill="1" applyBorder="1" applyAlignment="1">
      <alignment horizontal="left" vertical="top" wrapText="1"/>
    </xf>
    <xf numFmtId="0" fontId="23" fillId="5" borderId="23" xfId="0" applyFont="1" applyFill="1" applyBorder="1" applyAlignment="1">
      <alignment horizontal="left" vertical="top" wrapText="1"/>
    </xf>
    <xf numFmtId="0" fontId="23" fillId="5" borderId="18" xfId="0" applyFont="1" applyFill="1" applyBorder="1" applyAlignment="1">
      <alignment horizontal="left" vertical="top" wrapText="1"/>
    </xf>
    <xf numFmtId="0" fontId="6" fillId="2" borderId="11" xfId="4" applyFont="1" applyFill="1" applyBorder="1" applyAlignment="1">
      <alignment horizontal="left" vertical="top"/>
    </xf>
    <xf numFmtId="0" fontId="6" fillId="2" borderId="14" xfId="4" applyFont="1" applyFill="1" applyBorder="1" applyAlignment="1">
      <alignment horizontal="center" wrapText="1"/>
    </xf>
    <xf numFmtId="0" fontId="55" fillId="0" borderId="16" xfId="0" applyFont="1" applyBorder="1" applyAlignment="1">
      <alignment horizontal="left" vertical="center" wrapText="1"/>
    </xf>
    <xf numFmtId="0" fontId="55" fillId="0" borderId="18" xfId="0" applyFont="1" applyBorder="1" applyAlignment="1">
      <alignment horizontal="left" vertical="center" wrapText="1"/>
    </xf>
    <xf numFmtId="0" fontId="6" fillId="2" borderId="19" xfId="4" applyFont="1" applyFill="1" applyBorder="1" applyAlignment="1">
      <alignment horizontal="center" vertical="center"/>
    </xf>
    <xf numFmtId="0" fontId="23" fillId="5" borderId="11" xfId="0" applyFont="1" applyFill="1" applyBorder="1" applyAlignment="1">
      <alignment horizontal="left"/>
    </xf>
    <xf numFmtId="0" fontId="18" fillId="0" borderId="11" xfId="4" applyFont="1" applyBorder="1" applyAlignment="1">
      <alignment horizontal="left" vertical="center"/>
    </xf>
    <xf numFmtId="0" fontId="35" fillId="10" borderId="11" xfId="0" applyFont="1" applyFill="1" applyBorder="1" applyAlignment="1">
      <alignment horizontal="left"/>
    </xf>
    <xf numFmtId="0" fontId="29" fillId="5" borderId="11" xfId="0" applyFont="1" applyFill="1" applyBorder="1" applyAlignment="1">
      <alignment horizontal="center"/>
    </xf>
    <xf numFmtId="0" fontId="6" fillId="2" borderId="11" xfId="4" applyFont="1" applyFill="1" applyBorder="1" applyAlignment="1">
      <alignment horizontal="center" vertical="center" wrapText="1"/>
    </xf>
    <xf numFmtId="0" fontId="7" fillId="5" borderId="11" xfId="0" applyFont="1" applyFill="1" applyBorder="1" applyAlignment="1">
      <alignment horizontal="center"/>
    </xf>
    <xf numFmtId="0" fontId="30" fillId="5" borderId="11" xfId="0" applyFont="1" applyFill="1" applyBorder="1" applyAlignment="1">
      <alignment horizontal="left" vertical="center" wrapText="1"/>
    </xf>
    <xf numFmtId="0" fontId="30" fillId="5" borderId="11" xfId="0" applyFont="1" applyFill="1" applyBorder="1" applyAlignment="1">
      <alignment horizontal="left" vertical="top" wrapText="1"/>
    </xf>
    <xf numFmtId="0" fontId="29" fillId="2" borderId="11" xfId="4" applyFont="1" applyFill="1" applyBorder="1" applyAlignment="1">
      <alignment horizontal="center" vertical="center" wrapText="1"/>
    </xf>
    <xf numFmtId="0" fontId="31" fillId="5" borderId="0" xfId="0" applyFont="1" applyFill="1" applyAlignment="1">
      <alignment horizontal="center" vertical="center"/>
    </xf>
    <xf numFmtId="0" fontId="23" fillId="5" borderId="11" xfId="0" applyFont="1" applyFill="1" applyBorder="1" applyAlignment="1">
      <alignment horizontal="left" vertical="top"/>
    </xf>
    <xf numFmtId="0" fontId="7" fillId="5" borderId="11" xfId="0" applyFont="1" applyFill="1" applyBorder="1" applyAlignment="1">
      <alignment horizontal="left" vertical="top"/>
    </xf>
    <xf numFmtId="164" fontId="21" fillId="0" borderId="16" xfId="1" applyFont="1" applyBorder="1" applyAlignment="1" applyProtection="1">
      <alignment horizontal="center" vertical="center"/>
    </xf>
    <xf numFmtId="0" fontId="16" fillId="9" borderId="11" xfId="4" applyFont="1" applyFill="1" applyBorder="1" applyAlignment="1">
      <alignment horizontal="center" vertical="center" wrapText="1"/>
    </xf>
    <xf numFmtId="0" fontId="34" fillId="7" borderId="11" xfId="0" applyFont="1" applyFill="1" applyBorder="1" applyAlignment="1">
      <alignment horizontal="left" vertical="center"/>
    </xf>
    <xf numFmtId="0" fontId="34" fillId="6" borderId="11" xfId="0" applyFont="1" applyFill="1" applyBorder="1" applyAlignment="1">
      <alignment horizontal="left" vertical="center" wrapText="1"/>
    </xf>
    <xf numFmtId="0" fontId="35" fillId="7" borderId="16" xfId="0" applyFont="1" applyFill="1" applyBorder="1" applyAlignment="1">
      <alignment horizontal="left" vertical="center"/>
    </xf>
    <xf numFmtId="0" fontId="35" fillId="7" borderId="18" xfId="0" applyFont="1" applyFill="1" applyBorder="1" applyAlignment="1">
      <alignment horizontal="left" vertical="center"/>
    </xf>
    <xf numFmtId="0" fontId="36" fillId="5" borderId="11" xfId="0" applyFont="1" applyFill="1" applyBorder="1" applyAlignment="1">
      <alignment horizontal="left" vertical="center" wrapText="1"/>
    </xf>
    <xf numFmtId="0" fontId="37" fillId="5" borderId="11" xfId="0" applyFont="1" applyFill="1" applyBorder="1" applyAlignment="1">
      <alignment horizontal="left" vertical="center" wrapText="1"/>
    </xf>
    <xf numFmtId="0" fontId="35" fillId="5" borderId="11" xfId="0" applyFont="1" applyFill="1" applyBorder="1" applyAlignment="1">
      <alignment horizontal="left" vertical="center" wrapText="1"/>
    </xf>
    <xf numFmtId="0" fontId="34" fillId="5" borderId="11" xfId="0" applyFont="1" applyFill="1" applyBorder="1" applyAlignment="1">
      <alignment horizontal="left" vertical="center" wrapText="1"/>
    </xf>
    <xf numFmtId="0" fontId="16" fillId="2" borderId="11" xfId="4" applyFont="1" applyFill="1" applyBorder="1" applyAlignment="1">
      <alignment horizontal="center" vertical="center" wrapText="1"/>
    </xf>
    <xf numFmtId="0" fontId="33" fillId="2" borderId="11" xfId="4" applyFont="1" applyFill="1" applyBorder="1" applyAlignment="1">
      <alignment horizontal="center" vertical="center" wrapText="1"/>
    </xf>
    <xf numFmtId="0" fontId="34" fillId="5" borderId="11" xfId="0" applyFont="1" applyFill="1" applyBorder="1" applyAlignment="1">
      <alignment horizontal="center" vertical="center" wrapText="1"/>
    </xf>
    <xf numFmtId="0" fontId="35" fillId="5" borderId="11" xfId="0" applyFont="1" applyFill="1" applyBorder="1" applyAlignment="1">
      <alignment horizontal="center" vertical="center" wrapText="1"/>
    </xf>
    <xf numFmtId="0" fontId="40" fillId="0" borderId="11" xfId="0" applyFont="1" applyBorder="1" applyAlignment="1">
      <alignment horizontal="center" vertical="top"/>
    </xf>
    <xf numFmtId="164" fontId="41" fillId="0" borderId="11" xfId="1" applyFont="1" applyBorder="1" applyAlignment="1" applyProtection="1">
      <alignment horizontal="center" vertical="top"/>
    </xf>
    <xf numFmtId="0" fontId="42" fillId="0" borderId="11" xfId="0" applyFont="1" applyBorder="1" applyAlignment="1">
      <alignment horizontal="left" vertical="top" wrapText="1"/>
    </xf>
    <xf numFmtId="0" fontId="44" fillId="5" borderId="0" xfId="0" applyFont="1" applyFill="1" applyAlignment="1">
      <alignment horizontal="center" vertical="top"/>
    </xf>
    <xf numFmtId="0" fontId="45" fillId="2" borderId="11" xfId="4" applyFont="1" applyFill="1" applyBorder="1" applyAlignment="1">
      <alignment horizontal="center" vertical="top" wrapText="1"/>
    </xf>
    <xf numFmtId="0" fontId="47" fillId="7" borderId="11" xfId="0" applyFont="1" applyFill="1" applyBorder="1" applyAlignment="1">
      <alignment horizontal="left" vertical="center" wrapText="1"/>
    </xf>
    <xf numFmtId="0" fontId="50" fillId="2" borderId="11" xfId="4" applyFont="1" applyFill="1" applyBorder="1" applyAlignment="1">
      <alignment horizontal="center" vertical="top" wrapText="1"/>
    </xf>
    <xf numFmtId="0" fontId="51" fillId="5" borderId="11" xfId="0" applyFont="1" applyFill="1" applyBorder="1" applyAlignment="1">
      <alignment horizontal="left" vertical="top" wrapText="1"/>
    </xf>
    <xf numFmtId="0" fontId="37" fillId="5" borderId="11" xfId="0" applyFont="1" applyFill="1" applyBorder="1" applyAlignment="1">
      <alignment horizontal="left" vertical="center"/>
    </xf>
    <xf numFmtId="0" fontId="52" fillId="5" borderId="11" xfId="0" applyFont="1" applyFill="1" applyBorder="1" applyAlignment="1">
      <alignment horizontal="left" vertical="center" wrapText="1"/>
    </xf>
    <xf numFmtId="0" fontId="34" fillId="6" borderId="16" xfId="0" applyFont="1" applyFill="1" applyBorder="1" applyAlignment="1">
      <alignment horizontal="left" vertical="center" wrapText="1"/>
    </xf>
    <xf numFmtId="0" fontId="34" fillId="6" borderId="18" xfId="0" applyFont="1" applyFill="1" applyBorder="1" applyAlignment="1">
      <alignment horizontal="left" vertical="center" wrapText="1"/>
    </xf>
  </cellXfs>
  <cellStyles count="7">
    <cellStyle name="Comma" xfId="1" builtinId="3"/>
    <cellStyle name="Hyperlink 1" xfId="2" xr:uid="{00000000-0005-0000-0000-000006000000}"/>
    <cellStyle name="Normal" xfId="0" builtinId="0"/>
    <cellStyle name="Normal 2" xfId="3" xr:uid="{00000000-0005-0000-0000-000007000000}"/>
    <cellStyle name="Normal 2 2" xfId="4" xr:uid="{00000000-0005-0000-0000-000008000000}"/>
    <cellStyle name="Normal 3" xfId="5" xr:uid="{00000000-0005-0000-0000-000009000000}"/>
    <cellStyle name="標準_生産計画ED書" xfId="6" xr:uid="{00000000-0005-0000-0000-00000A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5F0"/>
      <rgbColor rgb="FFC0C0C0"/>
      <rgbColor rgb="FF808080"/>
      <rgbColor rgb="FF9999FF"/>
      <rgbColor rgb="FF993366"/>
      <rgbColor rgb="FFFBE5D6"/>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2CDCFF"/>
      <rgbColor rgb="FF99CC00"/>
      <rgbColor rgb="FFFFCC00"/>
      <rgbColor rgb="FFFF9900"/>
      <rgbColor rgb="FFFF6600"/>
      <rgbColor rgb="FF666699"/>
      <rgbColor rgb="FF969696"/>
      <rgbColor rgb="FF003E83"/>
      <rgbColor rgb="FF339966"/>
      <rgbColor rgb="FF003300"/>
      <rgbColor rgb="FF333300"/>
      <rgbColor rgb="FF993300"/>
      <rgbColor rgb="FF993366"/>
      <rgbColor rgb="FF1B3E8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1076400</xdr:colOff>
      <xdr:row>3</xdr:row>
      <xdr:rowOff>190440</xdr:rowOff>
    </xdr:from>
    <xdr:to>
      <xdr:col>7</xdr:col>
      <xdr:colOff>196200</xdr:colOff>
      <xdr:row>7</xdr:row>
      <xdr:rowOff>53280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4257000" y="790560"/>
          <a:ext cx="2644200" cy="6627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152280</xdr:colOff>
      <xdr:row>0</xdr:row>
      <xdr:rowOff>247680</xdr:rowOff>
    </xdr:from>
    <xdr:to>
      <xdr:col>2</xdr:col>
      <xdr:colOff>929520</xdr:colOff>
      <xdr:row>2</xdr:row>
      <xdr:rowOff>34200</xdr:rowOff>
    </xdr:to>
    <xdr:pic>
      <xdr:nvPicPr>
        <xdr:cNvPr id="2" name="Picture 2">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384120" y="247680"/>
          <a:ext cx="1388520" cy="49140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86040</xdr:colOff>
      <xdr:row>0</xdr:row>
      <xdr:rowOff>0</xdr:rowOff>
    </xdr:from>
    <xdr:to>
      <xdr:col>2</xdr:col>
      <xdr:colOff>1490400</xdr:colOff>
      <xdr:row>2</xdr:row>
      <xdr:rowOff>186480</xdr:rowOff>
    </xdr:to>
    <xdr:pic>
      <xdr:nvPicPr>
        <xdr:cNvPr id="3" name="image1.png">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238320" y="0"/>
          <a:ext cx="1777320" cy="62460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86040</xdr:colOff>
      <xdr:row>0</xdr:row>
      <xdr:rowOff>0</xdr:rowOff>
    </xdr:from>
    <xdr:to>
      <xdr:col>2</xdr:col>
      <xdr:colOff>1500480</xdr:colOff>
      <xdr:row>2</xdr:row>
      <xdr:rowOff>186480</xdr:rowOff>
    </xdr:to>
    <xdr:pic>
      <xdr:nvPicPr>
        <xdr:cNvPr id="4" name="image1.png">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a:stretch/>
      </xdr:blipFill>
      <xdr:spPr>
        <a:xfrm>
          <a:off x="238320" y="0"/>
          <a:ext cx="1777320" cy="62460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86040</xdr:colOff>
      <xdr:row>0</xdr:row>
      <xdr:rowOff>0</xdr:rowOff>
    </xdr:from>
    <xdr:to>
      <xdr:col>2</xdr:col>
      <xdr:colOff>1419840</xdr:colOff>
      <xdr:row>2</xdr:row>
      <xdr:rowOff>186480</xdr:rowOff>
    </xdr:to>
    <xdr:pic>
      <xdr:nvPicPr>
        <xdr:cNvPr id="5" name="image1.png">
          <a:extLst>
            <a:ext uri="{FF2B5EF4-FFF2-40B4-BE49-F238E27FC236}">
              <a16:creationId xmlns:a16="http://schemas.microsoft.com/office/drawing/2014/main" id="{00000000-0008-0000-0400-000005000000}"/>
            </a:ext>
          </a:extLst>
        </xdr:cNvPr>
        <xdr:cNvPicPr/>
      </xdr:nvPicPr>
      <xdr:blipFill>
        <a:blip xmlns:r="http://schemas.openxmlformats.org/officeDocument/2006/relationships" r:embed="rId1"/>
        <a:stretch/>
      </xdr:blipFill>
      <xdr:spPr>
        <a:xfrm>
          <a:off x="238320" y="0"/>
          <a:ext cx="1777320" cy="62460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86040</xdr:colOff>
      <xdr:row>0</xdr:row>
      <xdr:rowOff>0</xdr:rowOff>
    </xdr:from>
    <xdr:to>
      <xdr:col>2</xdr:col>
      <xdr:colOff>1272960</xdr:colOff>
      <xdr:row>2</xdr:row>
      <xdr:rowOff>177120</xdr:rowOff>
    </xdr:to>
    <xdr:pic>
      <xdr:nvPicPr>
        <xdr:cNvPr id="6" name="image1.png">
          <a:extLst>
            <a:ext uri="{FF2B5EF4-FFF2-40B4-BE49-F238E27FC236}">
              <a16:creationId xmlns:a16="http://schemas.microsoft.com/office/drawing/2014/main" id="{00000000-0008-0000-0500-000006000000}"/>
            </a:ext>
          </a:extLst>
        </xdr:cNvPr>
        <xdr:cNvPicPr/>
      </xdr:nvPicPr>
      <xdr:blipFill>
        <a:blip xmlns:r="http://schemas.openxmlformats.org/officeDocument/2006/relationships" r:embed="rId1"/>
        <a:stretch/>
      </xdr:blipFill>
      <xdr:spPr>
        <a:xfrm>
          <a:off x="238320" y="0"/>
          <a:ext cx="1529280" cy="61524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86040</xdr:colOff>
      <xdr:row>0</xdr:row>
      <xdr:rowOff>0</xdr:rowOff>
    </xdr:from>
    <xdr:to>
      <xdr:col>2</xdr:col>
      <xdr:colOff>1450440</xdr:colOff>
      <xdr:row>2</xdr:row>
      <xdr:rowOff>186480</xdr:rowOff>
    </xdr:to>
    <xdr:pic>
      <xdr:nvPicPr>
        <xdr:cNvPr id="7" name="image1.png">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1"/>
        <a:stretch/>
      </xdr:blipFill>
      <xdr:spPr>
        <a:xfrm>
          <a:off x="238320" y="0"/>
          <a:ext cx="1777320" cy="62460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28800</xdr:colOff>
      <xdr:row>0</xdr:row>
      <xdr:rowOff>66600</xdr:rowOff>
    </xdr:from>
    <xdr:to>
      <xdr:col>2</xdr:col>
      <xdr:colOff>1107360</xdr:colOff>
      <xdr:row>2</xdr:row>
      <xdr:rowOff>167400</xdr:rowOff>
    </xdr:to>
    <xdr:pic>
      <xdr:nvPicPr>
        <xdr:cNvPr id="8" name="image1.png">
          <a:extLst>
            <a:ext uri="{FF2B5EF4-FFF2-40B4-BE49-F238E27FC236}">
              <a16:creationId xmlns:a16="http://schemas.microsoft.com/office/drawing/2014/main" id="{00000000-0008-0000-0700-000008000000}"/>
            </a:ext>
          </a:extLst>
        </xdr:cNvPr>
        <xdr:cNvPicPr/>
      </xdr:nvPicPr>
      <xdr:blipFill>
        <a:blip xmlns:r="http://schemas.openxmlformats.org/officeDocument/2006/relationships" r:embed="rId1"/>
        <a:stretch/>
      </xdr:blipFill>
      <xdr:spPr>
        <a:xfrm>
          <a:off x="181080" y="66600"/>
          <a:ext cx="1491480" cy="634320"/>
        </a:xfrm>
        <a:prstGeom prst="rect">
          <a:avLst/>
        </a:prstGeom>
        <a:noFill/>
        <a:ln w="0">
          <a:noFill/>
        </a:ln>
      </xdr:spPr>
    </xdr:pic>
    <xdr:clientData/>
  </xdr:twoCellAnchor>
  <xdr:twoCellAnchor editAs="absolute">
    <xdr:from>
      <xdr:col>4</xdr:col>
      <xdr:colOff>640800</xdr:colOff>
      <xdr:row>8</xdr:row>
      <xdr:rowOff>249840</xdr:rowOff>
    </xdr:from>
    <xdr:to>
      <xdr:col>4</xdr:col>
      <xdr:colOff>3520440</xdr:colOff>
      <xdr:row>8</xdr:row>
      <xdr:rowOff>249840</xdr:rowOff>
    </xdr:to>
    <xdr:sp macro="" textlink="">
      <xdr:nvSpPr>
        <xdr:cNvPr id="9" name="Horizontal line 1">
          <a:extLst>
            <a:ext uri="{FF2B5EF4-FFF2-40B4-BE49-F238E27FC236}">
              <a16:creationId xmlns:a16="http://schemas.microsoft.com/office/drawing/2014/main" id="{00000000-0008-0000-0700-000009000000}"/>
            </a:ext>
          </a:extLst>
        </xdr:cNvPr>
        <xdr:cNvSpPr/>
      </xdr:nvSpPr>
      <xdr:spPr>
        <a:xfrm>
          <a:off x="4911120" y="2811960"/>
          <a:ext cx="2879640" cy="0"/>
        </a:xfrm>
        <a:prstGeom prst="line">
          <a:avLst/>
        </a:prstGeom>
        <a:ln w="0">
          <a:solidFill>
            <a:srgbClr val="3465A4"/>
          </a:solidFill>
        </a:ln>
      </xdr:spPr>
      <xdr:style>
        <a:lnRef idx="0">
          <a:scrgbClr r="0" g="0" b="0"/>
        </a:lnRef>
        <a:fillRef idx="0">
          <a:scrgbClr r="0" g="0" b="0"/>
        </a:fillRef>
        <a:effectRef idx="0">
          <a:scrgbClr r="0" g="0" b="0"/>
        </a:effectRef>
        <a:fontRef idx="minor"/>
      </xdr:style>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86040</xdr:colOff>
      <xdr:row>0</xdr:row>
      <xdr:rowOff>0</xdr:rowOff>
    </xdr:from>
    <xdr:to>
      <xdr:col>2</xdr:col>
      <xdr:colOff>1450440</xdr:colOff>
      <xdr:row>2</xdr:row>
      <xdr:rowOff>186480</xdr:rowOff>
    </xdr:to>
    <xdr:pic>
      <xdr:nvPicPr>
        <xdr:cNvPr id="10" name="image1.png">
          <a:extLst>
            <a:ext uri="{FF2B5EF4-FFF2-40B4-BE49-F238E27FC236}">
              <a16:creationId xmlns:a16="http://schemas.microsoft.com/office/drawing/2014/main" id="{00000000-0008-0000-0800-00000A000000}"/>
            </a:ext>
          </a:extLst>
        </xdr:cNvPr>
        <xdr:cNvPicPr/>
      </xdr:nvPicPr>
      <xdr:blipFill>
        <a:blip xmlns:r="http://schemas.openxmlformats.org/officeDocument/2006/relationships" r:embed="rId1"/>
        <a:stretch/>
      </xdr:blipFill>
      <xdr:spPr>
        <a:xfrm>
          <a:off x="238320" y="0"/>
          <a:ext cx="1777320" cy="62460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988"/>
  <sheetViews>
    <sheetView showGridLines="0" view="pageBreakPreview" topLeftCell="A11" zoomScale="120" zoomScaleNormal="100" zoomScalePageLayoutView="120" workbookViewId="0">
      <selection activeCell="F19" sqref="F19"/>
    </sheetView>
  </sheetViews>
  <sheetFormatPr defaultColWidth="12.5546875" defaultRowHeight="15" customHeight="1"/>
  <cols>
    <col min="1" max="3" width="6.6640625" style="2" customWidth="1"/>
    <col min="4" max="4" width="9.44140625" style="2" customWidth="1"/>
    <col min="5" max="5" width="15.5546875" style="2" customWidth="1"/>
    <col min="6" max="9" width="25" style="2" customWidth="1"/>
    <col min="10" max="12" width="8.88671875" style="2" customWidth="1"/>
    <col min="13" max="14" width="6.6640625" style="2" customWidth="1"/>
    <col min="15" max="16384" width="12.5546875" style="2"/>
  </cols>
  <sheetData>
    <row r="1" spans="1:15" ht="15.75" customHeight="1">
      <c r="A1" s="196" t="s">
        <v>0</v>
      </c>
      <c r="B1" s="196"/>
      <c r="C1" s="196"/>
      <c r="D1" s="196"/>
      <c r="E1" s="196"/>
      <c r="F1" s="196"/>
      <c r="G1" s="196"/>
      <c r="H1" s="196"/>
      <c r="I1" s="196"/>
      <c r="J1" s="196"/>
      <c r="K1" s="196"/>
      <c r="L1" s="196"/>
      <c r="M1" s="196"/>
      <c r="N1" s="196"/>
    </row>
    <row r="2" spans="1:15" ht="15.75" customHeight="1">
      <c r="A2" s="196"/>
      <c r="B2" s="196"/>
      <c r="C2" s="196"/>
      <c r="D2" s="196"/>
      <c r="E2" s="196"/>
      <c r="F2" s="196"/>
      <c r="G2" s="196"/>
      <c r="H2" s="196"/>
      <c r="I2" s="196"/>
      <c r="J2" s="196"/>
      <c r="K2" s="196"/>
      <c r="L2" s="196"/>
      <c r="M2" s="196"/>
      <c r="N2" s="196"/>
    </row>
    <row r="3" spans="1:15" ht="15.75" customHeight="1">
      <c r="A3" s="3"/>
      <c r="B3" s="3"/>
      <c r="C3" s="3"/>
      <c r="D3" s="3"/>
      <c r="E3" s="3"/>
      <c r="F3" s="3"/>
      <c r="G3" s="3"/>
      <c r="H3" s="3"/>
      <c r="I3" s="3"/>
      <c r="J3" s="3"/>
      <c r="K3" s="4"/>
      <c r="L3" s="4"/>
      <c r="M3" s="4"/>
      <c r="N3" s="4"/>
    </row>
    <row r="4" spans="1:15" ht="15.75" customHeight="1">
      <c r="A4" s="3"/>
      <c r="B4" s="3"/>
      <c r="C4" s="3"/>
      <c r="D4" s="3"/>
      <c r="E4" s="3"/>
      <c r="F4" s="3"/>
      <c r="G4" s="3"/>
      <c r="H4" s="3"/>
      <c r="I4" s="3"/>
      <c r="J4" s="3"/>
      <c r="K4" s="4"/>
      <c r="L4" s="4"/>
      <c r="M4" s="4"/>
      <c r="N4" s="4"/>
    </row>
    <row r="5" spans="1:15" ht="15.75" customHeight="1">
      <c r="A5" s="3"/>
      <c r="B5" s="3"/>
      <c r="C5" s="3"/>
      <c r="D5" s="3"/>
      <c r="E5" s="3"/>
      <c r="F5" s="3"/>
      <c r="G5" s="3"/>
      <c r="H5" s="3"/>
      <c r="I5" s="3"/>
      <c r="J5" s="3"/>
      <c r="K5" s="4"/>
      <c r="L5" s="4"/>
      <c r="M5" s="4"/>
      <c r="N5" s="4"/>
      <c r="O5" s="5" t="s">
        <v>1</v>
      </c>
    </row>
    <row r="6" spans="1:15" ht="15.75" customHeight="1">
      <c r="A6" s="3"/>
      <c r="B6" s="3"/>
      <c r="C6" s="3"/>
      <c r="D6" s="3"/>
      <c r="E6" s="3"/>
      <c r="F6" s="3"/>
      <c r="G6" s="3"/>
      <c r="H6" s="3"/>
      <c r="I6" s="3"/>
      <c r="J6" s="3"/>
      <c r="K6" s="4"/>
      <c r="L6" s="4"/>
      <c r="M6" s="4"/>
      <c r="N6" s="4"/>
      <c r="O6" s="6" t="s">
        <v>2</v>
      </c>
    </row>
    <row r="7" spans="1:15" ht="15.75" customHeight="1">
      <c r="A7" s="3"/>
      <c r="B7" s="3"/>
      <c r="C7" s="3"/>
      <c r="D7" s="3"/>
      <c r="E7" s="3"/>
      <c r="F7" s="3"/>
      <c r="G7" s="3"/>
      <c r="H7" s="3"/>
      <c r="I7" s="3"/>
      <c r="J7" s="3"/>
      <c r="K7" s="4"/>
      <c r="L7" s="4"/>
      <c r="M7" s="4"/>
      <c r="N7" s="4"/>
      <c r="O7" s="7" t="s">
        <v>3</v>
      </c>
    </row>
    <row r="8" spans="1:15" ht="15.75" customHeight="1">
      <c r="A8" s="3"/>
      <c r="B8" s="3"/>
      <c r="C8" s="3"/>
      <c r="D8" s="3"/>
      <c r="E8" s="3"/>
      <c r="F8" s="3"/>
      <c r="G8" s="3"/>
      <c r="H8" s="3"/>
      <c r="I8" s="3"/>
      <c r="J8" s="3"/>
      <c r="K8" s="4"/>
      <c r="L8" s="4"/>
      <c r="M8" s="4"/>
      <c r="N8" s="4"/>
    </row>
    <row r="9" spans="1:15" ht="15.75" customHeight="1">
      <c r="A9" s="3"/>
      <c r="B9" s="3"/>
      <c r="C9" s="3"/>
      <c r="D9" s="197"/>
      <c r="E9" s="197"/>
      <c r="F9" s="197"/>
      <c r="G9" s="197"/>
      <c r="H9" s="197"/>
      <c r="I9" s="3"/>
      <c r="J9" s="3"/>
      <c r="K9" s="4"/>
      <c r="L9" s="4"/>
      <c r="M9" s="4"/>
      <c r="N9" s="4"/>
    </row>
    <row r="10" spans="1:15" ht="15.75" customHeight="1">
      <c r="A10" s="3"/>
      <c r="B10" s="3"/>
      <c r="C10" s="8"/>
      <c r="D10" s="8"/>
      <c r="E10" s="8"/>
      <c r="F10" s="8"/>
      <c r="G10" s="8"/>
      <c r="H10" s="8"/>
      <c r="I10" s="8"/>
      <c r="J10" s="3"/>
      <c r="K10" s="4"/>
      <c r="L10" s="4"/>
      <c r="M10" s="4"/>
      <c r="N10" s="4"/>
    </row>
    <row r="11" spans="1:15" ht="15.75" customHeight="1">
      <c r="A11" s="3"/>
      <c r="B11" s="9"/>
      <c r="C11" s="10"/>
      <c r="D11" s="11"/>
      <c r="E11" s="11"/>
      <c r="F11" s="11"/>
      <c r="G11" s="11"/>
      <c r="H11" s="11"/>
      <c r="I11" s="11"/>
      <c r="J11" s="11"/>
      <c r="K11" s="11"/>
      <c r="L11" s="12"/>
      <c r="M11" s="4"/>
      <c r="N11" s="4"/>
    </row>
    <row r="12" spans="1:15" ht="34.5" customHeight="1">
      <c r="A12" s="3"/>
      <c r="B12" s="9"/>
      <c r="C12" s="13"/>
      <c r="D12" s="198" t="s">
        <v>4</v>
      </c>
      <c r="E12" s="198"/>
      <c r="F12" s="198"/>
      <c r="G12" s="198"/>
      <c r="H12" s="198"/>
      <c r="I12" s="198"/>
      <c r="J12" s="198"/>
      <c r="K12" s="198"/>
      <c r="L12" s="14"/>
      <c r="M12" s="4"/>
      <c r="N12" s="4"/>
    </row>
    <row r="13" spans="1:15" ht="15.75" customHeight="1">
      <c r="A13" s="3"/>
      <c r="B13" s="9"/>
      <c r="C13" s="15"/>
      <c r="D13" s="16"/>
      <c r="E13" s="16"/>
      <c r="F13" s="16"/>
      <c r="G13" s="16"/>
      <c r="H13" s="16"/>
      <c r="I13" s="16"/>
      <c r="J13" s="16"/>
      <c r="K13" s="16"/>
      <c r="L13" s="17"/>
      <c r="M13" s="4"/>
      <c r="N13" s="4"/>
    </row>
    <row r="14" spans="1:15" ht="15.75" customHeight="1">
      <c r="A14" s="3"/>
      <c r="B14" s="3"/>
      <c r="C14" s="3"/>
      <c r="D14" s="3"/>
      <c r="E14" s="3"/>
      <c r="F14" s="3"/>
      <c r="G14" s="3"/>
      <c r="H14" s="3"/>
      <c r="I14" s="3"/>
      <c r="J14" s="3"/>
      <c r="K14" s="4"/>
      <c r="L14" s="4"/>
      <c r="M14" s="4"/>
      <c r="N14" s="4"/>
    </row>
    <row r="15" spans="1:15" ht="15.75" customHeight="1">
      <c r="A15" s="3"/>
      <c r="B15" s="3"/>
      <c r="C15" s="3"/>
      <c r="D15" s="3"/>
      <c r="E15" s="3"/>
      <c r="F15" s="3"/>
      <c r="G15" s="3"/>
      <c r="H15" s="3"/>
      <c r="I15" s="3"/>
      <c r="J15" s="3"/>
      <c r="K15" s="4"/>
      <c r="L15" s="4"/>
      <c r="M15" s="4"/>
      <c r="N15" s="4"/>
    </row>
    <row r="16" spans="1:15" s="19" customFormat="1" ht="18.75" customHeight="1">
      <c r="A16" s="18"/>
      <c r="B16" s="18"/>
      <c r="C16" s="18"/>
      <c r="E16" s="20" t="s">
        <v>5</v>
      </c>
      <c r="F16" s="21" t="s">
        <v>508</v>
      </c>
      <c r="G16" s="22"/>
      <c r="H16" s="20" t="s">
        <v>6</v>
      </c>
      <c r="I16" s="23"/>
      <c r="J16" s="24"/>
      <c r="K16" s="25"/>
      <c r="L16" s="25"/>
      <c r="M16" s="25"/>
      <c r="N16" s="25"/>
    </row>
    <row r="17" spans="1:14" s="19" customFormat="1" ht="18.75" customHeight="1">
      <c r="A17" s="18"/>
      <c r="B17" s="18"/>
      <c r="C17" s="18"/>
      <c r="E17" s="20" t="s">
        <v>7</v>
      </c>
      <c r="F17" s="21" t="s">
        <v>509</v>
      </c>
      <c r="G17" s="22"/>
      <c r="H17" s="20" t="s">
        <v>8</v>
      </c>
      <c r="I17" s="23"/>
      <c r="J17" s="24"/>
      <c r="K17" s="25"/>
      <c r="L17" s="25"/>
      <c r="M17" s="25"/>
      <c r="N17" s="25"/>
    </row>
    <row r="18" spans="1:14" s="19" customFormat="1" ht="18.75" customHeight="1">
      <c r="A18" s="18"/>
      <c r="B18" s="18"/>
      <c r="C18" s="18"/>
      <c r="E18" s="20" t="s">
        <v>9</v>
      </c>
      <c r="F18" s="21" t="s">
        <v>511</v>
      </c>
      <c r="G18" s="22"/>
      <c r="H18" s="20" t="s">
        <v>10</v>
      </c>
      <c r="I18" s="180">
        <v>46219</v>
      </c>
      <c r="J18" s="24"/>
      <c r="K18" s="25"/>
      <c r="L18" s="25"/>
      <c r="M18" s="25"/>
      <c r="N18" s="25"/>
    </row>
    <row r="19" spans="1:14" ht="15.75" customHeight="1">
      <c r="A19" s="3"/>
      <c r="B19" s="3"/>
      <c r="C19" s="3"/>
      <c r="D19" s="26"/>
      <c r="E19" s="26"/>
      <c r="F19" s="26"/>
      <c r="G19" s="26"/>
      <c r="H19" s="26"/>
      <c r="I19" s="26"/>
      <c r="J19" s="26"/>
      <c r="K19" s="3"/>
      <c r="L19" s="4"/>
      <c r="M19" s="4"/>
      <c r="N19" s="4"/>
    </row>
    <row r="20" spans="1:14" ht="19.5" customHeight="1">
      <c r="I20" s="4"/>
      <c r="J20" s="4"/>
    </row>
    <row r="21" spans="1:14" ht="21.75" customHeight="1">
      <c r="E21" s="20"/>
      <c r="F21" s="27" t="s">
        <v>11</v>
      </c>
      <c r="G21" s="27" t="s">
        <v>12</v>
      </c>
      <c r="H21" s="27" t="s">
        <v>13</v>
      </c>
      <c r="I21" s="27" t="s">
        <v>14</v>
      </c>
      <c r="J21" s="22"/>
    </row>
    <row r="22" spans="1:14" ht="21.75" customHeight="1">
      <c r="E22" s="28" t="s">
        <v>15</v>
      </c>
      <c r="F22" s="21" t="s">
        <v>510</v>
      </c>
      <c r="G22" s="21"/>
      <c r="H22" s="21"/>
      <c r="I22" s="21"/>
      <c r="J22" s="22"/>
    </row>
    <row r="23" spans="1:14" ht="21.75" customHeight="1">
      <c r="E23" s="28" t="s">
        <v>16</v>
      </c>
      <c r="F23" s="21" t="s">
        <v>11</v>
      </c>
      <c r="G23" s="21"/>
      <c r="H23" s="21"/>
      <c r="I23" s="21"/>
      <c r="J23" s="22"/>
    </row>
    <row r="24" spans="1:14" ht="21.75" customHeight="1">
      <c r="E24" s="28" t="s">
        <v>17</v>
      </c>
      <c r="F24" s="181">
        <v>46219</v>
      </c>
      <c r="G24" s="21"/>
      <c r="H24" s="21"/>
      <c r="I24" s="21"/>
      <c r="J24" s="22"/>
    </row>
    <row r="25" spans="1:14" ht="15.75" customHeight="1">
      <c r="E25" s="29"/>
    </row>
    <row r="26" spans="1:14" ht="15.75" customHeight="1"/>
    <row r="27" spans="1:14" ht="15.75" customHeight="1"/>
    <row r="28" spans="1:14" ht="15.75" customHeight="1"/>
    <row r="29" spans="1:14" ht="15.75" customHeight="1"/>
    <row r="30" spans="1:14" ht="15.75" customHeight="1"/>
    <row r="31" spans="1:14" ht="15.75" customHeight="1"/>
    <row r="32" spans="1:1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3">
    <mergeCell ref="A1:N2"/>
    <mergeCell ref="D9:H9"/>
    <mergeCell ref="D12:K12"/>
  </mergeCells>
  <pageMargins left="0.7" right="0.7" top="0.75" bottom="0.75" header="0.511811023622047" footer="0.511811023622047"/>
  <pageSetup scale="72"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21"/>
  <sheetViews>
    <sheetView view="pageBreakPreview" zoomScale="120" zoomScaleNormal="100" zoomScalePageLayoutView="120" workbookViewId="0">
      <selection activeCell="D12" sqref="D12:F12"/>
    </sheetView>
  </sheetViews>
  <sheetFormatPr defaultColWidth="8.6640625" defaultRowHeight="14.25" customHeight="1"/>
  <cols>
    <col min="1" max="1" width="3.33203125" customWidth="1"/>
    <col min="3" max="3" width="15.109375" customWidth="1"/>
    <col min="4" max="5" width="8" customWidth="1"/>
    <col min="6" max="6" width="15.109375" customWidth="1"/>
    <col min="7" max="7" width="12.88671875" customWidth="1"/>
    <col min="8" max="8" width="8" customWidth="1"/>
    <col min="9" max="9" width="5.6640625" customWidth="1"/>
    <col min="10" max="10" width="13.88671875" customWidth="1"/>
    <col min="11" max="11" width="12.5546875" customWidth="1"/>
    <col min="12" max="12" width="5.44140625" customWidth="1"/>
    <col min="13" max="13" width="8" customWidth="1"/>
    <col min="14" max="14" width="16.33203125" customWidth="1"/>
  </cols>
  <sheetData>
    <row r="1" spans="2:14" ht="27.75" customHeight="1">
      <c r="B1" s="199"/>
      <c r="C1" s="199"/>
      <c r="D1" s="200" t="s">
        <v>18</v>
      </c>
      <c r="E1" s="200"/>
      <c r="F1" s="200"/>
      <c r="G1" s="200"/>
      <c r="H1" s="200"/>
      <c r="I1" s="200"/>
      <c r="J1" s="200"/>
      <c r="K1" s="200"/>
      <c r="L1" s="201" t="s">
        <v>19</v>
      </c>
      <c r="M1" s="201"/>
      <c r="N1" s="201"/>
    </row>
    <row r="2" spans="2:14" ht="27.75" customHeight="1">
      <c r="B2" s="199"/>
      <c r="C2" s="199"/>
      <c r="D2" s="200"/>
      <c r="E2" s="200"/>
      <c r="F2" s="200"/>
      <c r="G2" s="200"/>
      <c r="H2" s="200"/>
      <c r="I2" s="200"/>
      <c r="J2" s="200"/>
      <c r="K2" s="200"/>
      <c r="L2" s="202" t="s">
        <v>20</v>
      </c>
      <c r="M2" s="202"/>
      <c r="N2" s="202"/>
    </row>
    <row r="3" spans="2:14" ht="27.75" customHeight="1">
      <c r="B3" s="199"/>
      <c r="C3" s="199"/>
      <c r="D3" s="200"/>
      <c r="E3" s="200"/>
      <c r="F3" s="200"/>
      <c r="G3" s="200"/>
      <c r="H3" s="200"/>
      <c r="I3" s="200"/>
      <c r="J3" s="200"/>
      <c r="K3" s="200"/>
      <c r="L3" s="202" t="s">
        <v>21</v>
      </c>
      <c r="M3" s="202"/>
      <c r="N3" s="202"/>
    </row>
    <row r="4" spans="2:14" ht="24.6">
      <c r="B4" s="203"/>
      <c r="C4" s="203"/>
      <c r="D4" s="203"/>
      <c r="E4" s="203"/>
      <c r="F4" s="203"/>
      <c r="G4" s="203"/>
      <c r="H4" s="203"/>
      <c r="I4" s="203"/>
      <c r="J4" s="203"/>
      <c r="K4" s="203"/>
      <c r="L4" s="203"/>
      <c r="M4" s="203"/>
      <c r="N4" s="203"/>
    </row>
    <row r="5" spans="2:14" ht="15.6">
      <c r="B5" s="204" t="s">
        <v>22</v>
      </c>
      <c r="C5" s="204"/>
      <c r="D5" s="204"/>
      <c r="E5" s="204"/>
      <c r="F5" s="204"/>
      <c r="G5" s="204"/>
      <c r="H5" s="204"/>
      <c r="I5" s="204"/>
      <c r="J5" s="204"/>
      <c r="K5" s="204"/>
      <c r="L5" s="204"/>
      <c r="M5" s="204"/>
      <c r="N5" s="204"/>
    </row>
    <row r="6" spans="2:14" s="30" customFormat="1" ht="22.5" customHeight="1">
      <c r="B6" s="31" t="s">
        <v>23</v>
      </c>
      <c r="C6" s="31" t="s">
        <v>24</v>
      </c>
      <c r="D6" s="205" t="s">
        <v>25</v>
      </c>
      <c r="E6" s="205"/>
      <c r="F6" s="205"/>
      <c r="G6" s="1" t="s">
        <v>26</v>
      </c>
      <c r="H6" s="206" t="s">
        <v>27</v>
      </c>
      <c r="I6" s="206"/>
      <c r="J6" s="32" t="s">
        <v>28</v>
      </c>
      <c r="K6" s="32" t="s">
        <v>29</v>
      </c>
      <c r="L6" s="206" t="s">
        <v>30</v>
      </c>
      <c r="M6" s="206"/>
      <c r="N6" s="206"/>
    </row>
    <row r="7" spans="2:14" ht="15" customHeight="1">
      <c r="B7" s="33">
        <v>1</v>
      </c>
      <c r="C7" s="34">
        <v>46219</v>
      </c>
      <c r="D7" s="207" t="s">
        <v>31</v>
      </c>
      <c r="E7" s="207"/>
      <c r="F7" s="207"/>
      <c r="G7" s="35" t="s">
        <v>31</v>
      </c>
      <c r="H7" s="208" t="s">
        <v>32</v>
      </c>
      <c r="I7" s="208"/>
      <c r="J7" s="36" t="s">
        <v>511</v>
      </c>
      <c r="K7" s="36" t="s">
        <v>511</v>
      </c>
      <c r="L7" s="209"/>
      <c r="M7" s="209"/>
      <c r="N7" s="209"/>
    </row>
    <row r="8" spans="2:14" ht="15" customHeight="1">
      <c r="B8" s="37">
        <v>2</v>
      </c>
      <c r="C8" s="34"/>
      <c r="D8" s="210"/>
      <c r="E8" s="210"/>
      <c r="F8" s="210"/>
      <c r="G8" s="39"/>
      <c r="H8" s="211"/>
      <c r="I8" s="211"/>
      <c r="J8" s="36"/>
      <c r="K8" s="36"/>
      <c r="L8" s="212"/>
      <c r="M8" s="212"/>
      <c r="N8" s="212"/>
    </row>
    <row r="9" spans="2:14" ht="15.6">
      <c r="B9" s="37">
        <v>3</v>
      </c>
      <c r="C9" s="38"/>
      <c r="D9" s="212"/>
      <c r="E9" s="212"/>
      <c r="F9" s="212"/>
      <c r="G9" s="39"/>
      <c r="H9" s="211"/>
      <c r="I9" s="211"/>
      <c r="J9" s="36"/>
      <c r="K9" s="36"/>
      <c r="L9" s="212"/>
      <c r="M9" s="212"/>
      <c r="N9" s="212"/>
    </row>
    <row r="10" spans="2:14" ht="15.6">
      <c r="B10" s="37">
        <v>4</v>
      </c>
      <c r="C10" s="40"/>
      <c r="D10" s="212"/>
      <c r="E10" s="212"/>
      <c r="F10" s="212"/>
      <c r="G10" s="39"/>
      <c r="H10" s="211"/>
      <c r="I10" s="211"/>
      <c r="J10" s="36"/>
      <c r="K10" s="36"/>
      <c r="L10" s="212"/>
      <c r="M10" s="212"/>
      <c r="N10" s="212"/>
    </row>
    <row r="11" spans="2:14" ht="15.6">
      <c r="B11" s="37">
        <v>5</v>
      </c>
      <c r="C11" s="40"/>
      <c r="D11" s="212"/>
      <c r="E11" s="212"/>
      <c r="F11" s="212"/>
      <c r="G11" s="39"/>
      <c r="H11" s="211"/>
      <c r="I11" s="211"/>
      <c r="J11" s="36"/>
      <c r="K11" s="36"/>
      <c r="L11" s="212"/>
      <c r="M11" s="212"/>
      <c r="N11" s="212"/>
    </row>
    <row r="12" spans="2:14" ht="15.6">
      <c r="B12" s="33">
        <v>6</v>
      </c>
      <c r="C12" s="41"/>
      <c r="D12" s="209"/>
      <c r="E12" s="209"/>
      <c r="F12" s="209"/>
      <c r="G12" s="35"/>
      <c r="H12" s="208"/>
      <c r="I12" s="208"/>
      <c r="J12" s="36"/>
      <c r="K12" s="36"/>
      <c r="L12" s="209"/>
      <c r="M12" s="209"/>
      <c r="N12" s="209"/>
    </row>
    <row r="13" spans="2:14" ht="15.6">
      <c r="B13" s="37">
        <v>7</v>
      </c>
      <c r="C13" s="40"/>
      <c r="D13" s="212"/>
      <c r="E13" s="212"/>
      <c r="F13" s="212"/>
      <c r="G13" s="39"/>
      <c r="H13" s="211"/>
      <c r="I13" s="211"/>
      <c r="J13" s="36"/>
      <c r="K13" s="36"/>
      <c r="L13" s="212"/>
      <c r="M13" s="212"/>
      <c r="N13" s="212"/>
    </row>
    <row r="14" spans="2:14" ht="15.6">
      <c r="B14" s="37">
        <v>8</v>
      </c>
      <c r="C14" s="40"/>
      <c r="D14" s="212"/>
      <c r="E14" s="212"/>
      <c r="F14" s="212"/>
      <c r="G14" s="39"/>
      <c r="H14" s="211"/>
      <c r="I14" s="211"/>
      <c r="J14" s="36"/>
      <c r="K14" s="36"/>
      <c r="L14" s="212"/>
      <c r="M14" s="212"/>
      <c r="N14" s="212"/>
    </row>
    <row r="15" spans="2:14" ht="15.6">
      <c r="B15" s="37">
        <v>9</v>
      </c>
      <c r="C15" s="40"/>
      <c r="D15" s="212"/>
      <c r="E15" s="212"/>
      <c r="F15" s="212"/>
      <c r="G15" s="39"/>
      <c r="H15" s="211"/>
      <c r="I15" s="211"/>
      <c r="J15" s="36"/>
      <c r="K15" s="36"/>
      <c r="L15" s="212"/>
      <c r="M15" s="212"/>
      <c r="N15" s="212"/>
    </row>
    <row r="16" spans="2:14" ht="15.6">
      <c r="B16" s="37">
        <v>10</v>
      </c>
      <c r="C16" s="40"/>
      <c r="D16" s="212"/>
      <c r="E16" s="212"/>
      <c r="F16" s="212"/>
      <c r="G16" s="39"/>
      <c r="H16" s="211"/>
      <c r="I16" s="211"/>
      <c r="J16" s="36"/>
      <c r="K16" s="36"/>
      <c r="L16" s="212"/>
      <c r="M16" s="212"/>
      <c r="N16" s="212"/>
    </row>
    <row r="17" spans="2:14" ht="15.6">
      <c r="B17" s="33">
        <v>11</v>
      </c>
      <c r="C17" s="41"/>
      <c r="D17" s="209"/>
      <c r="E17" s="209"/>
      <c r="F17" s="209"/>
      <c r="G17" s="35"/>
      <c r="H17" s="208"/>
      <c r="I17" s="208"/>
      <c r="J17" s="36"/>
      <c r="K17" s="36"/>
      <c r="L17" s="209"/>
      <c r="M17" s="209"/>
      <c r="N17" s="209"/>
    </row>
    <row r="18" spans="2:14" ht="15.6">
      <c r="B18" s="37">
        <v>12</v>
      </c>
      <c r="C18" s="40"/>
      <c r="D18" s="212"/>
      <c r="E18" s="212"/>
      <c r="F18" s="212"/>
      <c r="G18" s="39"/>
      <c r="H18" s="211"/>
      <c r="I18" s="211"/>
      <c r="J18" s="36"/>
      <c r="K18" s="36"/>
      <c r="L18" s="212"/>
      <c r="M18" s="212"/>
      <c r="N18" s="212"/>
    </row>
    <row r="19" spans="2:14" ht="15.6">
      <c r="B19" s="37">
        <v>13</v>
      </c>
      <c r="C19" s="40"/>
      <c r="D19" s="212"/>
      <c r="E19" s="212"/>
      <c r="F19" s="212"/>
      <c r="G19" s="39"/>
      <c r="H19" s="211"/>
      <c r="I19" s="211"/>
      <c r="J19" s="36"/>
      <c r="K19" s="36"/>
      <c r="L19" s="212"/>
      <c r="M19" s="212"/>
      <c r="N19" s="212"/>
    </row>
    <row r="20" spans="2:14" ht="15.6">
      <c r="B20" s="37">
        <v>14</v>
      </c>
      <c r="C20" s="40"/>
      <c r="D20" s="212"/>
      <c r="E20" s="212"/>
      <c r="F20" s="212"/>
      <c r="G20" s="39"/>
      <c r="H20" s="211"/>
      <c r="I20" s="211"/>
      <c r="J20" s="36"/>
      <c r="K20" s="36"/>
      <c r="L20" s="212"/>
      <c r="M20" s="212"/>
      <c r="N20" s="212"/>
    </row>
    <row r="21" spans="2:14" ht="15.6">
      <c r="B21" s="37">
        <v>15</v>
      </c>
      <c r="C21" s="40"/>
      <c r="D21" s="212"/>
      <c r="E21" s="212"/>
      <c r="F21" s="212"/>
      <c r="G21" s="39"/>
      <c r="H21" s="211"/>
      <c r="I21" s="211"/>
      <c r="J21" s="36"/>
      <c r="K21" s="36"/>
      <c r="L21" s="212"/>
      <c r="M21" s="212"/>
      <c r="N21" s="212"/>
    </row>
  </sheetData>
  <mergeCells count="55">
    <mergeCell ref="D21:F21"/>
    <mergeCell ref="H21:I21"/>
    <mergeCell ref="L21:N21"/>
    <mergeCell ref="D19:F19"/>
    <mergeCell ref="H19:I19"/>
    <mergeCell ref="L19:N19"/>
    <mergeCell ref="D20:F20"/>
    <mergeCell ref="H20:I20"/>
    <mergeCell ref="L20:N20"/>
    <mergeCell ref="D17:F17"/>
    <mergeCell ref="H17:I17"/>
    <mergeCell ref="L17:N17"/>
    <mergeCell ref="D18:F18"/>
    <mergeCell ref="H18:I18"/>
    <mergeCell ref="L18:N18"/>
    <mergeCell ref="D15:F15"/>
    <mergeCell ref="H15:I15"/>
    <mergeCell ref="L15:N15"/>
    <mergeCell ref="D16:F16"/>
    <mergeCell ref="H16:I16"/>
    <mergeCell ref="L16:N16"/>
    <mergeCell ref="D13:F13"/>
    <mergeCell ref="H13:I13"/>
    <mergeCell ref="L13:N13"/>
    <mergeCell ref="D14:F14"/>
    <mergeCell ref="H14:I14"/>
    <mergeCell ref="L14:N14"/>
    <mergeCell ref="D11:F11"/>
    <mergeCell ref="H11:I11"/>
    <mergeCell ref="L11:N11"/>
    <mergeCell ref="D12:F12"/>
    <mergeCell ref="H12:I12"/>
    <mergeCell ref="L12:N12"/>
    <mergeCell ref="D9:F9"/>
    <mergeCell ref="H9:I9"/>
    <mergeCell ref="L9:N9"/>
    <mergeCell ref="D10:F10"/>
    <mergeCell ref="H10:I10"/>
    <mergeCell ref="L10:N10"/>
    <mergeCell ref="D7:F7"/>
    <mergeCell ref="H7:I7"/>
    <mergeCell ref="L7:N7"/>
    <mergeCell ref="D8:F8"/>
    <mergeCell ref="H8:I8"/>
    <mergeCell ref="L8:N8"/>
    <mergeCell ref="B4:N4"/>
    <mergeCell ref="B5:N5"/>
    <mergeCell ref="D6:F6"/>
    <mergeCell ref="H6:I6"/>
    <mergeCell ref="L6:N6"/>
    <mergeCell ref="B1:C3"/>
    <mergeCell ref="D1:K3"/>
    <mergeCell ref="L1:N1"/>
    <mergeCell ref="L2:N2"/>
    <mergeCell ref="L3:N3"/>
  </mergeCells>
  <pageMargins left="0.7" right="0.7" top="0.75" bottom="0.75" header="0.511811023622047" footer="0.511811023622047"/>
  <pageSetup orientation="portrait" horizontalDpi="300" verticalDpi="3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2"/>
  <sheetViews>
    <sheetView view="pageBreakPreview" topLeftCell="A2" zoomScale="120" zoomScaleNormal="100" zoomScalePageLayoutView="120" workbookViewId="0">
      <selection activeCell="F6" sqref="F6:G6"/>
    </sheetView>
  </sheetViews>
  <sheetFormatPr defaultColWidth="9" defaultRowHeight="12.75" customHeight="1"/>
  <cols>
    <col min="1" max="1" width="2.109375" style="42" customWidth="1"/>
    <col min="2" max="2" width="5.33203125" style="42" customWidth="1"/>
    <col min="3" max="3" width="31.33203125" style="42" customWidth="1"/>
    <col min="4" max="4" width="10.109375" style="43" customWidth="1"/>
    <col min="5" max="5" width="40.88671875" style="42" customWidth="1"/>
    <col min="6" max="7" width="15.88671875" style="42" customWidth="1"/>
    <col min="8" max="8" width="16.5546875" style="42" customWidth="1"/>
    <col min="9" max="9" width="13.109375" style="42" customWidth="1"/>
    <col min="10" max="10" width="7.109375" style="42" customWidth="1"/>
    <col min="11" max="11" width="8.5546875" style="42" customWidth="1"/>
    <col min="12" max="16384" width="9" style="42"/>
  </cols>
  <sheetData>
    <row r="1" spans="1:13" ht="17.25" customHeight="1">
      <c r="A1" s="44" t="s">
        <v>22</v>
      </c>
      <c r="B1" s="213"/>
      <c r="C1" s="213"/>
      <c r="D1" s="214" t="s">
        <v>33</v>
      </c>
      <c r="E1" s="214"/>
      <c r="F1" s="214"/>
      <c r="G1" s="215" t="str">
        <f>'Page Revision History'!L1</f>
        <v>Mã số: BM03-QT-OP-01</v>
      </c>
      <c r="H1" s="215"/>
    </row>
    <row r="2" spans="1:13" ht="17.25" customHeight="1">
      <c r="A2" s="44"/>
      <c r="B2" s="213"/>
      <c r="C2" s="213"/>
      <c r="D2" s="214"/>
      <c r="E2" s="214"/>
      <c r="F2" s="214"/>
      <c r="G2" s="215" t="str">
        <f>'Page Revision History'!L2</f>
        <v>Ngày hiệu lực: 10/09/2025</v>
      </c>
      <c r="H2" s="215"/>
    </row>
    <row r="3" spans="1:13" ht="17.25" customHeight="1">
      <c r="A3" s="44"/>
      <c r="B3" s="213"/>
      <c r="C3" s="213"/>
      <c r="D3" s="214"/>
      <c r="E3" s="214"/>
      <c r="F3" s="214"/>
      <c r="G3" s="215" t="str">
        <f>'Page Revision History'!L3</f>
        <v>Lần ban hành: 02</v>
      </c>
      <c r="H3" s="215"/>
    </row>
    <row r="4" spans="1:13" s="45" customFormat="1" ht="13.8">
      <c r="A4" s="42"/>
      <c r="B4" s="42"/>
      <c r="C4" s="42"/>
      <c r="D4" s="43"/>
      <c r="E4" s="42"/>
      <c r="F4" s="42"/>
      <c r="G4" s="42"/>
      <c r="H4" s="42"/>
      <c r="I4" s="42"/>
      <c r="J4" s="42"/>
      <c r="K4" s="42"/>
      <c r="L4" s="42"/>
      <c r="M4" s="42"/>
    </row>
    <row r="5" spans="1:13" s="45" customFormat="1" ht="31.5" customHeight="1">
      <c r="A5" s="42"/>
      <c r="B5" s="27" t="s">
        <v>34</v>
      </c>
      <c r="C5" s="27" t="s">
        <v>35</v>
      </c>
      <c r="D5" s="27" t="s">
        <v>36</v>
      </c>
      <c r="E5" s="46" t="s">
        <v>37</v>
      </c>
      <c r="F5" s="217" t="s">
        <v>38</v>
      </c>
      <c r="G5" s="217"/>
      <c r="H5" s="27" t="s">
        <v>39</v>
      </c>
      <c r="I5" s="42"/>
      <c r="J5" s="42"/>
      <c r="K5" s="43"/>
    </row>
    <row r="6" spans="1:13" s="45" customFormat="1" ht="84.75" customHeight="1">
      <c r="A6" s="42"/>
      <c r="B6" s="47">
        <v>1</v>
      </c>
      <c r="C6" s="48" t="s">
        <v>40</v>
      </c>
      <c r="D6" s="47" t="s">
        <v>11</v>
      </c>
      <c r="E6" s="49" t="s">
        <v>41</v>
      </c>
      <c r="F6" s="216"/>
      <c r="G6" s="216"/>
      <c r="H6" s="50" t="s">
        <v>42</v>
      </c>
      <c r="I6" s="42"/>
      <c r="J6" s="42"/>
    </row>
    <row r="7" spans="1:13" s="45" customFormat="1" ht="51" customHeight="1">
      <c r="A7" s="42"/>
      <c r="B7" s="47">
        <v>2</v>
      </c>
      <c r="C7" s="48" t="s">
        <v>43</v>
      </c>
      <c r="D7" s="47" t="s">
        <v>11</v>
      </c>
      <c r="E7" s="49" t="s">
        <v>44</v>
      </c>
      <c r="F7" s="216"/>
      <c r="G7" s="216"/>
      <c r="H7" s="50" t="s">
        <v>42</v>
      </c>
      <c r="I7" s="42"/>
      <c r="J7" s="42"/>
    </row>
    <row r="8" spans="1:13" s="45" customFormat="1" ht="81.75" customHeight="1">
      <c r="A8" s="42"/>
      <c r="B8" s="47">
        <v>3</v>
      </c>
      <c r="C8" s="48" t="s">
        <v>45</v>
      </c>
      <c r="D8" s="47" t="s">
        <v>11</v>
      </c>
      <c r="E8" s="49" t="s">
        <v>46</v>
      </c>
      <c r="F8" s="216"/>
      <c r="G8" s="216"/>
      <c r="H8" s="50" t="s">
        <v>42</v>
      </c>
      <c r="I8" s="42"/>
      <c r="J8" s="42"/>
    </row>
    <row r="9" spans="1:13" s="45" customFormat="1" ht="68.25" customHeight="1">
      <c r="A9" s="42"/>
      <c r="B9" s="47">
        <v>4</v>
      </c>
      <c r="C9" s="48" t="s">
        <v>47</v>
      </c>
      <c r="D9" s="47" t="s">
        <v>11</v>
      </c>
      <c r="E9" s="49" t="s">
        <v>48</v>
      </c>
      <c r="F9" s="216"/>
      <c r="G9" s="216"/>
      <c r="H9" s="50" t="s">
        <v>42</v>
      </c>
      <c r="I9" s="42"/>
      <c r="J9" s="42"/>
    </row>
    <row r="10" spans="1:13" s="45" customFormat="1" ht="69" customHeight="1">
      <c r="A10" s="42"/>
      <c r="B10" s="47">
        <v>5</v>
      </c>
      <c r="C10" s="51" t="s">
        <v>49</v>
      </c>
      <c r="D10" s="47" t="s">
        <v>11</v>
      </c>
      <c r="E10" s="49" t="s">
        <v>50</v>
      </c>
      <c r="F10" s="216"/>
      <c r="G10" s="216"/>
      <c r="H10" s="50" t="s">
        <v>42</v>
      </c>
      <c r="I10" s="42"/>
      <c r="J10" s="42"/>
    </row>
    <row r="11" spans="1:13" s="45" customFormat="1" ht="57.75" customHeight="1">
      <c r="A11" s="42"/>
      <c r="B11" s="47">
        <v>6</v>
      </c>
      <c r="C11" s="48" t="s">
        <v>51</v>
      </c>
      <c r="D11" s="47" t="s">
        <v>11</v>
      </c>
      <c r="E11" s="49" t="s">
        <v>52</v>
      </c>
      <c r="F11" s="216" t="s">
        <v>53</v>
      </c>
      <c r="G11" s="216"/>
      <c r="H11" s="50" t="s">
        <v>42</v>
      </c>
      <c r="I11" s="42"/>
      <c r="J11" s="42"/>
    </row>
    <row r="12" spans="1:13" s="45" customFormat="1" ht="13.8">
      <c r="A12" s="42"/>
      <c r="D12" s="52"/>
      <c r="H12" s="42"/>
      <c r="I12" s="42"/>
      <c r="K12" s="43"/>
    </row>
  </sheetData>
  <mergeCells count="12">
    <mergeCell ref="F10:G10"/>
    <mergeCell ref="F11:G11"/>
    <mergeCell ref="F5:G5"/>
    <mergeCell ref="F6:G6"/>
    <mergeCell ref="F7:G7"/>
    <mergeCell ref="F8:G8"/>
    <mergeCell ref="F9:G9"/>
    <mergeCell ref="B1:C3"/>
    <mergeCell ref="D1:F3"/>
    <mergeCell ref="G1:H1"/>
    <mergeCell ref="G2:H2"/>
    <mergeCell ref="G3:H3"/>
  </mergeCells>
  <dataValidations count="1">
    <dataValidation type="list" allowBlank="1" showInputMessage="1" showErrorMessage="1" sqref="H6:H11" xr:uid="{00000000-0002-0000-0200-000000000000}">
      <formula1>"Done,Open"</formula1>
      <formula2>0</formula2>
    </dataValidation>
  </dataValidations>
  <hyperlinks>
    <hyperlink ref="C6" location="'1. Project Information'!A1" display="1. Project Information" xr:uid="{00000000-0004-0000-0200-000000000000}"/>
    <hyperlink ref="C7" location="'2. Role &amp; Team'!A1" display="2. Role &amp; Team" xr:uid="{00000000-0004-0000-0200-000001000000}"/>
    <hyperlink ref="C8" location="'3.Configuration Plan'!A1" display="3.Configuration Plan" xr:uid="{00000000-0004-0000-0200-000002000000}"/>
    <hyperlink ref="C9" location="'4. Communication Plan &amp; Tools'!A1" display="4. Communication Plan &amp; Tools" xr:uid="{00000000-0004-0000-0200-000003000000}"/>
    <hyperlink ref="C10" location="'5. Standard Metric'!A1" display="5. Standard Metric" xr:uid="{00000000-0004-0000-0200-000004000000}"/>
    <hyperlink ref="C11" location="'6. Other plan'!A1" display="6. Other Plan" xr:uid="{00000000-0004-0000-0200-000005000000}"/>
  </hyperlinks>
  <pageMargins left="0.7" right="0.7" top="0.75" bottom="0.75" header="0.511811023622047" footer="0.511811023622047"/>
  <pageSetup scale="54" orientation="portrait" horizontalDpi="300" verticalDpi="3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7"/>
  <sheetViews>
    <sheetView view="pageBreakPreview" topLeftCell="A122" zoomScaleNormal="100" zoomScaleSheetLayoutView="100" zoomScalePageLayoutView="120" workbookViewId="0">
      <selection activeCell="D91" sqref="D91:E91"/>
    </sheetView>
  </sheetViews>
  <sheetFormatPr defaultColWidth="9" defaultRowHeight="12.75" customHeight="1"/>
  <cols>
    <col min="1" max="1" width="2.109375" style="42" customWidth="1"/>
    <col min="2" max="2" width="5.109375" style="42" customWidth="1"/>
    <col min="3" max="3" width="24.6640625" style="42" customWidth="1"/>
    <col min="4" max="4" width="14.44140625" style="42" customWidth="1"/>
    <col min="5" max="5" width="44" style="42" customWidth="1"/>
    <col min="6" max="7" width="26.44140625" style="42" customWidth="1"/>
    <col min="8" max="8" width="18.44140625" style="43" customWidth="1"/>
    <col min="9" max="9" width="28" style="42" customWidth="1"/>
    <col min="10" max="10" width="16.6640625" style="42" customWidth="1"/>
    <col min="11" max="14" width="13.33203125" style="42" customWidth="1"/>
    <col min="15" max="16384" width="9" style="42"/>
  </cols>
  <sheetData>
    <row r="1" spans="1:13" s="54" customFormat="1" ht="17.25" customHeight="1">
      <c r="A1" s="53" t="s">
        <v>22</v>
      </c>
      <c r="B1" s="218"/>
      <c r="C1" s="218"/>
      <c r="D1" s="200" t="s">
        <v>54</v>
      </c>
      <c r="E1" s="200"/>
      <c r="F1" s="219" t="str">
        <f>'0. Tasklist'!$G$1</f>
        <v>Mã số: BM03-QT-OP-01</v>
      </c>
      <c r="G1" s="219"/>
    </row>
    <row r="2" spans="1:13" s="54" customFormat="1" ht="17.25" customHeight="1">
      <c r="A2" s="53"/>
      <c r="B2" s="218"/>
      <c r="C2" s="218"/>
      <c r="D2" s="200"/>
      <c r="E2" s="200"/>
      <c r="F2" s="219" t="str">
        <f>'0. Tasklist'!$G$2</f>
        <v>Ngày hiệu lực: 10/09/2025</v>
      </c>
      <c r="G2" s="219"/>
    </row>
    <row r="3" spans="1:13" s="54" customFormat="1" ht="17.25" customHeight="1">
      <c r="A3" s="53"/>
      <c r="B3" s="218"/>
      <c r="C3" s="218"/>
      <c r="D3" s="200"/>
      <c r="E3" s="200"/>
      <c r="F3" s="219" t="str">
        <f>'0. Tasklist'!$G$3</f>
        <v>Lần ban hành: 02</v>
      </c>
      <c r="G3" s="219"/>
    </row>
    <row r="4" spans="1:13" ht="7.5" customHeight="1">
      <c r="H4" s="42"/>
    </row>
    <row r="5" spans="1:13" ht="22.5" customHeight="1">
      <c r="B5" s="220" t="s">
        <v>55</v>
      </c>
      <c r="C5" s="220"/>
      <c r="D5" s="221" t="s">
        <v>508</v>
      </c>
      <c r="E5" s="221"/>
      <c r="F5" s="55" t="s">
        <v>9</v>
      </c>
      <c r="G5" s="56" t="s">
        <v>511</v>
      </c>
      <c r="H5" s="42"/>
    </row>
    <row r="6" spans="1:13" s="45" customFormat="1" ht="22.5" customHeight="1">
      <c r="A6" s="42"/>
      <c r="B6" s="220" t="s">
        <v>7</v>
      </c>
      <c r="C6" s="220"/>
      <c r="D6" s="221" t="s">
        <v>509</v>
      </c>
      <c r="E6" s="221"/>
      <c r="F6" s="55" t="s">
        <v>10</v>
      </c>
      <c r="G6" s="182">
        <v>46219</v>
      </c>
      <c r="H6" s="42"/>
      <c r="I6" s="42"/>
      <c r="J6" s="42"/>
      <c r="K6" s="42"/>
      <c r="L6" s="52"/>
    </row>
    <row r="7" spans="1:13" s="45" customFormat="1" ht="13.8">
      <c r="A7" s="42"/>
      <c r="B7" s="42"/>
      <c r="C7" s="42"/>
      <c r="D7" s="42"/>
      <c r="E7" s="42"/>
      <c r="F7" s="42"/>
      <c r="G7" s="42"/>
      <c r="H7" s="42"/>
      <c r="I7" s="42"/>
      <c r="J7" s="42"/>
      <c r="K7" s="42"/>
      <c r="L7" s="42"/>
      <c r="M7" s="42"/>
    </row>
    <row r="8" spans="1:13" s="45" customFormat="1" ht="13.8">
      <c r="A8" s="42"/>
      <c r="B8" s="42" t="s">
        <v>40</v>
      </c>
      <c r="C8" s="42"/>
      <c r="D8" s="42"/>
      <c r="E8" s="42"/>
      <c r="F8" s="42"/>
      <c r="G8" s="42"/>
      <c r="H8" s="42"/>
      <c r="I8" s="42"/>
      <c r="J8" s="42"/>
      <c r="K8" s="42"/>
      <c r="L8" s="42"/>
    </row>
    <row r="9" spans="1:13" s="45" customFormat="1" ht="12.75" customHeight="1">
      <c r="A9" s="42"/>
      <c r="B9" s="222" t="s">
        <v>56</v>
      </c>
      <c r="C9" s="222"/>
      <c r="D9" s="57" t="s">
        <v>57</v>
      </c>
      <c r="E9" s="58"/>
      <c r="F9" s="59" t="s">
        <v>58</v>
      </c>
      <c r="G9" s="60"/>
      <c r="H9" s="42"/>
      <c r="I9" s="42"/>
    </row>
    <row r="10" spans="1:13" s="45" customFormat="1" ht="12.75" customHeight="1">
      <c r="A10" s="42"/>
      <c r="B10" s="222" t="s">
        <v>59</v>
      </c>
      <c r="C10" s="222"/>
      <c r="D10" s="57" t="s">
        <v>60</v>
      </c>
      <c r="E10" s="58" t="s">
        <v>61</v>
      </c>
      <c r="F10" s="59" t="s">
        <v>59</v>
      </c>
      <c r="G10" s="60" t="s">
        <v>62</v>
      </c>
      <c r="H10" s="42"/>
      <c r="I10" s="42"/>
    </row>
    <row r="11" spans="1:13" s="45" customFormat="1" ht="12.75" customHeight="1">
      <c r="A11" s="42"/>
      <c r="B11" s="222" t="s">
        <v>63</v>
      </c>
      <c r="C11" s="222"/>
      <c r="D11" s="57" t="s">
        <v>64</v>
      </c>
      <c r="E11" s="183">
        <v>42200</v>
      </c>
      <c r="F11" s="59" t="s">
        <v>66</v>
      </c>
      <c r="G11" s="183">
        <v>42221</v>
      </c>
      <c r="H11" s="42"/>
      <c r="I11" s="42"/>
    </row>
    <row r="12" spans="1:13" s="45" customFormat="1" ht="12.75" customHeight="1">
      <c r="A12" s="42"/>
      <c r="B12" s="222" t="s">
        <v>67</v>
      </c>
      <c r="C12" s="222"/>
      <c r="D12" s="57" t="s">
        <v>68</v>
      </c>
      <c r="E12" s="58">
        <v>0.7</v>
      </c>
      <c r="F12" s="59" t="s">
        <v>69</v>
      </c>
      <c r="G12" s="60">
        <v>0.7</v>
      </c>
      <c r="H12" s="42"/>
      <c r="I12" s="42"/>
    </row>
    <row r="13" spans="1:13" s="45" customFormat="1" ht="129.6" customHeight="1">
      <c r="A13" s="42"/>
      <c r="B13" s="223" t="s">
        <v>70</v>
      </c>
      <c r="C13" s="223"/>
      <c r="D13" s="57" t="s">
        <v>71</v>
      </c>
      <c r="E13" s="224" t="s">
        <v>512</v>
      </c>
      <c r="F13" s="225"/>
      <c r="G13" s="226"/>
      <c r="H13" s="42"/>
      <c r="I13" s="42"/>
    </row>
    <row r="14" spans="1:13" s="45" customFormat="1" ht="171.75" customHeight="1">
      <c r="A14" s="42"/>
      <c r="B14" s="223"/>
      <c r="C14" s="223"/>
      <c r="D14" s="57" t="s">
        <v>72</v>
      </c>
      <c r="E14" s="224" t="s">
        <v>513</v>
      </c>
      <c r="F14" s="225"/>
      <c r="G14" s="226"/>
      <c r="H14" s="42"/>
      <c r="I14" s="42"/>
    </row>
    <row r="15" spans="1:13" s="62" customFormat="1" ht="12.75" customHeight="1">
      <c r="B15" s="227" t="s">
        <v>73</v>
      </c>
      <c r="C15" s="227"/>
      <c r="D15" s="63" t="s">
        <v>74</v>
      </c>
      <c r="E15" s="64" t="s">
        <v>75</v>
      </c>
      <c r="F15" s="228" t="s">
        <v>76</v>
      </c>
      <c r="G15" s="228"/>
    </row>
    <row r="16" spans="1:13" s="45" customFormat="1" ht="15.6">
      <c r="A16" s="42"/>
      <c r="B16" s="227"/>
      <c r="C16" s="227"/>
      <c r="D16" s="65">
        <v>1</v>
      </c>
      <c r="E16" s="185"/>
      <c r="F16" s="229" t="s">
        <v>514</v>
      </c>
      <c r="G16" s="230"/>
      <c r="H16" s="42"/>
      <c r="I16" s="42"/>
    </row>
    <row r="17" spans="1:10" s="45" customFormat="1" ht="15.6">
      <c r="A17" s="42"/>
      <c r="B17" s="227"/>
      <c r="C17" s="227"/>
      <c r="D17" s="65">
        <v>2</v>
      </c>
      <c r="E17" s="185"/>
      <c r="F17" s="229" t="s">
        <v>515</v>
      </c>
      <c r="G17" s="230"/>
      <c r="H17" s="42"/>
      <c r="I17" s="42"/>
    </row>
    <row r="18" spans="1:10" s="45" customFormat="1" ht="31.2" customHeight="1">
      <c r="A18" s="42"/>
      <c r="B18" s="227"/>
      <c r="C18" s="227"/>
      <c r="D18" s="65">
        <v>3</v>
      </c>
      <c r="E18" s="185"/>
      <c r="F18" s="229" t="s">
        <v>516</v>
      </c>
      <c r="G18" s="230"/>
      <c r="H18" s="42"/>
      <c r="I18" s="42"/>
    </row>
    <row r="19" spans="1:10" s="45" customFormat="1" ht="31.2" customHeight="1">
      <c r="A19" s="42"/>
      <c r="B19" s="227"/>
      <c r="C19" s="227"/>
      <c r="D19" s="65">
        <v>4</v>
      </c>
      <c r="E19" s="185"/>
      <c r="F19" s="229" t="s">
        <v>517</v>
      </c>
      <c r="G19" s="230"/>
      <c r="H19" s="42"/>
      <c r="I19" s="42"/>
    </row>
    <row r="20" spans="1:10" s="45" customFormat="1" ht="31.2" customHeight="1">
      <c r="A20" s="42"/>
      <c r="B20" s="227"/>
      <c r="C20" s="227"/>
      <c r="D20" s="65">
        <v>5</v>
      </c>
      <c r="E20" s="185"/>
      <c r="F20" s="229" t="s">
        <v>518</v>
      </c>
      <c r="G20" s="230"/>
      <c r="H20" s="42"/>
      <c r="I20" s="42"/>
    </row>
    <row r="21" spans="1:10" s="45" customFormat="1" ht="15.6">
      <c r="A21" s="42"/>
      <c r="B21" s="184"/>
      <c r="C21" s="184"/>
      <c r="D21" s="65">
        <v>6</v>
      </c>
      <c r="E21" s="185"/>
      <c r="F21" s="229" t="s">
        <v>519</v>
      </c>
      <c r="G21" s="230"/>
      <c r="H21" s="42"/>
      <c r="I21" s="42"/>
    </row>
    <row r="22" spans="1:10" s="45" customFormat="1" ht="15.6">
      <c r="A22" s="42"/>
      <c r="B22" s="184"/>
      <c r="C22" s="184"/>
      <c r="D22" s="65">
        <v>7</v>
      </c>
      <c r="E22" s="185"/>
      <c r="F22" s="229" t="s">
        <v>520</v>
      </c>
      <c r="G22" s="230"/>
      <c r="H22" s="42"/>
      <c r="I22" s="42"/>
    </row>
    <row r="23" spans="1:10" s="45" customFormat="1" ht="13.8">
      <c r="A23" s="42"/>
      <c r="H23" s="42"/>
      <c r="I23" s="42"/>
      <c r="J23" s="43"/>
    </row>
    <row r="24" spans="1:10" ht="13.8">
      <c r="B24" s="42" t="s">
        <v>77</v>
      </c>
      <c r="H24" s="42"/>
    </row>
    <row r="25" spans="1:10" ht="13.8">
      <c r="B25" s="42" t="s">
        <v>78</v>
      </c>
      <c r="H25" s="42"/>
    </row>
    <row r="26" spans="1:10" ht="13.8">
      <c r="B26" s="27" t="s">
        <v>34</v>
      </c>
      <c r="C26" s="46" t="s">
        <v>79</v>
      </c>
      <c r="D26" s="66" t="s">
        <v>80</v>
      </c>
      <c r="E26" s="66" t="s">
        <v>81</v>
      </c>
      <c r="H26" s="42"/>
    </row>
    <row r="27" spans="1:10" ht="13.8">
      <c r="B27" s="47">
        <v>1</v>
      </c>
      <c r="C27" s="67" t="s">
        <v>82</v>
      </c>
      <c r="D27" s="68"/>
      <c r="E27" s="68" t="s">
        <v>83</v>
      </c>
      <c r="H27" s="42"/>
    </row>
    <row r="28" spans="1:10" ht="13.8">
      <c r="B28" s="47">
        <v>2</v>
      </c>
      <c r="C28" s="67" t="s">
        <v>84</v>
      </c>
      <c r="D28" s="68"/>
      <c r="E28" s="68" t="s">
        <v>83</v>
      </c>
      <c r="H28" s="42"/>
    </row>
    <row r="29" spans="1:10" ht="13.8">
      <c r="B29" s="47">
        <v>3</v>
      </c>
      <c r="C29" s="67" t="s">
        <v>85</v>
      </c>
      <c r="D29" s="68"/>
      <c r="E29" s="68" t="s">
        <v>83</v>
      </c>
      <c r="H29" s="42"/>
    </row>
    <row r="30" spans="1:10" ht="13.8">
      <c r="B30" s="47">
        <v>4</v>
      </c>
      <c r="C30" s="67" t="s">
        <v>86</v>
      </c>
      <c r="D30" s="68"/>
      <c r="E30" s="68" t="s">
        <v>83</v>
      </c>
    </row>
    <row r="31" spans="1:10" ht="13.8">
      <c r="B31" s="47">
        <v>5</v>
      </c>
      <c r="C31" s="67" t="s">
        <v>87</v>
      </c>
      <c r="D31" s="68"/>
      <c r="E31" s="68" t="s">
        <v>83</v>
      </c>
    </row>
    <row r="32" spans="1:10" ht="13.8">
      <c r="B32" s="47">
        <v>6</v>
      </c>
      <c r="C32" s="67" t="s">
        <v>88</v>
      </c>
      <c r="D32" s="68"/>
      <c r="E32" s="68" t="s">
        <v>83</v>
      </c>
    </row>
    <row r="33" spans="2:5" ht="13.8">
      <c r="B33" s="47">
        <v>7</v>
      </c>
      <c r="C33" s="67" t="s">
        <v>89</v>
      </c>
      <c r="D33" s="68"/>
      <c r="E33" s="68" t="s">
        <v>83</v>
      </c>
    </row>
    <row r="34" spans="2:5" ht="13.8">
      <c r="B34" s="47">
        <v>8</v>
      </c>
      <c r="C34" s="67" t="s">
        <v>90</v>
      </c>
      <c r="D34" s="68"/>
      <c r="E34" s="68" t="s">
        <v>83</v>
      </c>
    </row>
    <row r="35" spans="2:5" ht="13.8">
      <c r="B35" s="47">
        <v>9</v>
      </c>
      <c r="C35" s="67" t="s">
        <v>91</v>
      </c>
      <c r="D35" s="68"/>
      <c r="E35" s="68" t="s">
        <v>83</v>
      </c>
    </row>
    <row r="37" spans="2:5" ht="13.8">
      <c r="B37" s="42" t="s">
        <v>92</v>
      </c>
    </row>
    <row r="38" spans="2:5" ht="13.8">
      <c r="B38" s="27" t="s">
        <v>34</v>
      </c>
      <c r="C38" s="27" t="s">
        <v>93</v>
      </c>
      <c r="D38" s="27" t="s">
        <v>94</v>
      </c>
    </row>
    <row r="39" spans="2:5" ht="13.8">
      <c r="B39" s="47">
        <v>1</v>
      </c>
      <c r="C39" s="69" t="s">
        <v>95</v>
      </c>
      <c r="D39" s="65" t="s">
        <v>83</v>
      </c>
    </row>
    <row r="40" spans="2:5" ht="13.8">
      <c r="B40" s="47">
        <v>2</v>
      </c>
      <c r="C40" s="69" t="s">
        <v>96</v>
      </c>
      <c r="D40" s="65" t="s">
        <v>83</v>
      </c>
    </row>
    <row r="41" spans="2:5" ht="13.8">
      <c r="B41" s="47">
        <v>3</v>
      </c>
      <c r="C41" s="69" t="s">
        <v>97</v>
      </c>
      <c r="D41" s="65" t="s">
        <v>83</v>
      </c>
    </row>
    <row r="42" spans="2:5" ht="13.8">
      <c r="B42" s="47">
        <v>4</v>
      </c>
      <c r="C42" s="69" t="s">
        <v>98</v>
      </c>
      <c r="D42" s="65" t="s">
        <v>83</v>
      </c>
    </row>
    <row r="44" spans="2:5" ht="13.8">
      <c r="B44" s="42" t="s">
        <v>99</v>
      </c>
    </row>
    <row r="45" spans="2:5" ht="13.8">
      <c r="B45" s="27" t="s">
        <v>34</v>
      </c>
      <c r="C45" s="27" t="s">
        <v>100</v>
      </c>
      <c r="D45" s="231" t="s">
        <v>75</v>
      </c>
      <c r="E45" s="231"/>
    </row>
    <row r="46" spans="2:5" ht="15.6">
      <c r="B46" s="187">
        <v>1</v>
      </c>
      <c r="C46" s="186" t="s">
        <v>521</v>
      </c>
      <c r="D46" s="233" t="s">
        <v>522</v>
      </c>
      <c r="E46" s="233"/>
    </row>
    <row r="47" spans="2:5" ht="15.6">
      <c r="B47" s="187">
        <v>2</v>
      </c>
      <c r="C47" s="186" t="s">
        <v>523</v>
      </c>
      <c r="D47" s="233" t="s">
        <v>524</v>
      </c>
      <c r="E47" s="233"/>
    </row>
    <row r="48" spans="2:5" ht="15.6">
      <c r="B48" s="187">
        <v>3</v>
      </c>
      <c r="C48" s="186" t="s">
        <v>525</v>
      </c>
      <c r="D48" s="233" t="s">
        <v>526</v>
      </c>
      <c r="E48" s="233"/>
    </row>
    <row r="49" spans="2:7" ht="15.6">
      <c r="B49" s="187">
        <v>4</v>
      </c>
      <c r="C49" s="186" t="s">
        <v>527</v>
      </c>
      <c r="D49" s="233" t="s">
        <v>528</v>
      </c>
      <c r="E49" s="233"/>
    </row>
    <row r="50" spans="2:7" ht="15.6">
      <c r="B50" s="187">
        <v>5</v>
      </c>
      <c r="C50" s="186" t="s">
        <v>529</v>
      </c>
      <c r="D50" s="234" t="s">
        <v>530</v>
      </c>
      <c r="E50" s="234"/>
    </row>
    <row r="51" spans="2:7" ht="15.6">
      <c r="B51" s="187">
        <v>6</v>
      </c>
      <c r="C51" s="186" t="s">
        <v>531</v>
      </c>
      <c r="D51" s="234" t="s">
        <v>532</v>
      </c>
      <c r="E51" s="234"/>
    </row>
    <row r="52" spans="2:7" ht="15.6">
      <c r="B52" s="187">
        <v>7</v>
      </c>
      <c r="C52" s="186" t="s">
        <v>533</v>
      </c>
      <c r="D52" s="234" t="s">
        <v>534</v>
      </c>
      <c r="E52" s="234"/>
    </row>
    <row r="53" spans="2:7" ht="15.6">
      <c r="B53" s="187">
        <v>8</v>
      </c>
      <c r="C53" s="188"/>
      <c r="D53" s="234"/>
      <c r="E53" s="234"/>
    </row>
    <row r="55" spans="2:7" ht="13.8">
      <c r="B55" s="42" t="s">
        <v>101</v>
      </c>
    </row>
    <row r="56" spans="2:7" ht="12.75" customHeight="1">
      <c r="B56" s="27" t="s">
        <v>34</v>
      </c>
      <c r="C56" s="27" t="s">
        <v>102</v>
      </c>
      <c r="D56" s="231" t="s">
        <v>103</v>
      </c>
      <c r="E56" s="231"/>
      <c r="F56" s="46" t="s">
        <v>79</v>
      </c>
      <c r="G56" s="27" t="s">
        <v>39</v>
      </c>
    </row>
    <row r="57" spans="2:7" ht="15.6">
      <c r="B57" s="189">
        <v>1</v>
      </c>
      <c r="C57" s="190" t="s">
        <v>535</v>
      </c>
      <c r="D57" s="232"/>
      <c r="E57" s="232"/>
      <c r="F57" s="61" t="s">
        <v>86</v>
      </c>
      <c r="G57" s="70" t="s">
        <v>104</v>
      </c>
    </row>
    <row r="58" spans="2:7" ht="15.6">
      <c r="B58" s="189">
        <v>2</v>
      </c>
      <c r="C58" s="190" t="s">
        <v>536</v>
      </c>
      <c r="D58" s="232"/>
      <c r="E58" s="232"/>
      <c r="F58" s="61"/>
      <c r="G58" s="70"/>
    </row>
    <row r="59" spans="2:7" ht="15.6">
      <c r="B59" s="189">
        <v>3</v>
      </c>
      <c r="C59" s="190" t="s">
        <v>537</v>
      </c>
      <c r="D59" s="232"/>
      <c r="E59" s="232"/>
      <c r="F59" s="61"/>
      <c r="G59" s="70"/>
    </row>
    <row r="60" spans="2:7" ht="15.6">
      <c r="B60" s="189">
        <v>4</v>
      </c>
      <c r="C60" s="190" t="s">
        <v>538</v>
      </c>
      <c r="D60" s="232"/>
      <c r="E60" s="232"/>
      <c r="F60" s="61"/>
      <c r="G60" s="70"/>
    </row>
    <row r="61" spans="2:7" ht="15.6">
      <c r="B61" s="189">
        <v>5</v>
      </c>
      <c r="C61" s="190" t="s">
        <v>539</v>
      </c>
      <c r="D61" s="232"/>
      <c r="E61" s="232"/>
      <c r="F61" s="61"/>
      <c r="G61" s="70"/>
    </row>
    <row r="62" spans="2:7" ht="15.6">
      <c r="B62" s="189">
        <v>6</v>
      </c>
      <c r="C62" s="190" t="s">
        <v>540</v>
      </c>
      <c r="D62" s="232"/>
      <c r="E62" s="232"/>
      <c r="F62" s="61"/>
      <c r="G62" s="70"/>
    </row>
    <row r="63" spans="2:7" ht="15.6">
      <c r="B63" s="189">
        <v>7</v>
      </c>
      <c r="C63" s="190" t="s">
        <v>541</v>
      </c>
      <c r="D63" s="232"/>
      <c r="E63" s="232"/>
      <c r="F63" s="61"/>
      <c r="G63" s="70"/>
    </row>
    <row r="64" spans="2:7" ht="15.6">
      <c r="B64" s="189">
        <v>8</v>
      </c>
      <c r="C64" s="190" t="s">
        <v>542</v>
      </c>
      <c r="D64" s="232"/>
      <c r="E64" s="232"/>
      <c r="F64" s="61"/>
      <c r="G64" s="70"/>
    </row>
    <row r="65" spans="2:7" ht="15.6">
      <c r="B65" s="189">
        <v>9</v>
      </c>
      <c r="C65" s="190" t="s">
        <v>543</v>
      </c>
      <c r="D65" s="232"/>
      <c r="E65" s="232"/>
      <c r="F65" s="61"/>
      <c r="G65" s="70"/>
    </row>
    <row r="66" spans="2:7" ht="15.6">
      <c r="B66" s="189">
        <v>10</v>
      </c>
      <c r="C66" s="190" t="s">
        <v>544</v>
      </c>
      <c r="D66" s="232"/>
      <c r="E66" s="232"/>
      <c r="F66" s="61"/>
      <c r="G66" s="70"/>
    </row>
    <row r="67" spans="2:7" ht="15.6">
      <c r="B67" s="189">
        <v>11</v>
      </c>
      <c r="C67" s="190" t="s">
        <v>545</v>
      </c>
      <c r="D67" s="232"/>
      <c r="E67" s="232"/>
      <c r="F67" s="61"/>
      <c r="G67" s="70"/>
    </row>
    <row r="68" spans="2:7" ht="15.6">
      <c r="B68" s="189">
        <v>12</v>
      </c>
      <c r="C68" s="190" t="s">
        <v>546</v>
      </c>
      <c r="D68" s="232"/>
      <c r="E68" s="232"/>
      <c r="F68" s="61"/>
      <c r="G68" s="70"/>
    </row>
    <row r="69" spans="2:7" ht="15.6">
      <c r="B69" s="189">
        <v>13</v>
      </c>
      <c r="C69" s="190" t="s">
        <v>547</v>
      </c>
      <c r="D69" s="232"/>
      <c r="E69" s="232"/>
      <c r="F69" s="61"/>
      <c r="G69" s="70"/>
    </row>
    <row r="70" spans="2:7" ht="15.6">
      <c r="B70" s="189">
        <v>14</v>
      </c>
      <c r="C70" s="190" t="s">
        <v>548</v>
      </c>
      <c r="D70" s="232"/>
      <c r="E70" s="232"/>
      <c r="F70" s="61"/>
      <c r="G70" s="70"/>
    </row>
    <row r="71" spans="2:7" ht="15.6">
      <c r="B71" s="189">
        <v>15</v>
      </c>
      <c r="C71" s="190" t="s">
        <v>549</v>
      </c>
      <c r="D71" s="232"/>
      <c r="E71" s="232"/>
      <c r="F71" s="61"/>
      <c r="G71" s="70"/>
    </row>
    <row r="72" spans="2:7" ht="15.6">
      <c r="B72" s="189">
        <v>16</v>
      </c>
      <c r="C72" s="190" t="s">
        <v>550</v>
      </c>
      <c r="D72" s="232"/>
      <c r="E72" s="232"/>
      <c r="F72" s="61"/>
      <c r="G72" s="70"/>
    </row>
    <row r="73" spans="2:7" ht="15.6">
      <c r="B73" s="189">
        <v>17</v>
      </c>
      <c r="C73" s="190" t="s">
        <v>551</v>
      </c>
      <c r="D73" s="232"/>
      <c r="E73" s="232"/>
      <c r="F73" s="61"/>
      <c r="G73" s="70"/>
    </row>
    <row r="74" spans="2:7" ht="15.6">
      <c r="B74" s="189">
        <v>18</v>
      </c>
      <c r="C74" s="190" t="s">
        <v>552</v>
      </c>
      <c r="D74" s="232"/>
      <c r="E74" s="232"/>
      <c r="F74" s="61"/>
      <c r="G74" s="70"/>
    </row>
    <row r="75" spans="2:7" ht="15.6">
      <c r="B75" s="189">
        <v>19</v>
      </c>
      <c r="C75" s="190" t="s">
        <v>553</v>
      </c>
      <c r="D75" s="232"/>
      <c r="E75" s="232"/>
      <c r="F75" s="61"/>
      <c r="G75" s="70"/>
    </row>
    <row r="76" spans="2:7" ht="15.6">
      <c r="B76" s="189">
        <v>20</v>
      </c>
      <c r="C76" s="190" t="s">
        <v>554</v>
      </c>
      <c r="D76" s="232"/>
      <c r="E76" s="232"/>
      <c r="F76" s="61"/>
      <c r="G76" s="70"/>
    </row>
    <row r="77" spans="2:7" ht="15.6">
      <c r="B77" s="189">
        <v>21</v>
      </c>
      <c r="C77" s="190" t="s">
        <v>555</v>
      </c>
      <c r="D77" s="232"/>
      <c r="E77" s="232"/>
      <c r="F77" s="61"/>
      <c r="G77" s="70"/>
    </row>
    <row r="78" spans="2:7" ht="15.6">
      <c r="B78" s="189">
        <v>22</v>
      </c>
      <c r="C78" s="190" t="s">
        <v>556</v>
      </c>
      <c r="D78" s="232"/>
      <c r="E78" s="232"/>
      <c r="F78" s="61"/>
      <c r="G78" s="70"/>
    </row>
    <row r="79" spans="2:7" ht="15.6">
      <c r="B79" s="189">
        <v>23</v>
      </c>
      <c r="C79" s="190" t="s">
        <v>557</v>
      </c>
      <c r="D79" s="232"/>
      <c r="E79" s="232"/>
      <c r="F79" s="61"/>
      <c r="G79" s="70"/>
    </row>
    <row r="80" spans="2:7" ht="15.6">
      <c r="B80" s="189">
        <v>24</v>
      </c>
      <c r="C80" s="190" t="s">
        <v>558</v>
      </c>
      <c r="D80" s="232"/>
      <c r="E80" s="232"/>
      <c r="F80" s="61"/>
      <c r="G80" s="70"/>
    </row>
    <row r="81" spans="2:8" ht="15.6">
      <c r="B81" s="189">
        <v>25</v>
      </c>
      <c r="C81" s="190" t="s">
        <v>559</v>
      </c>
      <c r="D81" s="232"/>
      <c r="E81" s="232"/>
      <c r="F81" s="61"/>
      <c r="G81" s="70"/>
    </row>
    <row r="82" spans="2:8" ht="15.6">
      <c r="B82" s="189">
        <v>26</v>
      </c>
      <c r="C82" s="190" t="s">
        <v>560</v>
      </c>
      <c r="D82" s="232"/>
      <c r="E82" s="232"/>
      <c r="F82" s="61"/>
      <c r="G82" s="70"/>
    </row>
    <row r="83" spans="2:8" ht="15.6">
      <c r="B83" s="189">
        <v>27</v>
      </c>
      <c r="C83" s="190" t="s">
        <v>561</v>
      </c>
      <c r="D83" s="232"/>
      <c r="E83" s="232"/>
      <c r="F83" s="61"/>
      <c r="G83" s="70"/>
    </row>
    <row r="84" spans="2:8" ht="15.6">
      <c r="B84" s="189">
        <v>28</v>
      </c>
      <c r="C84" s="190" t="s">
        <v>562</v>
      </c>
      <c r="D84" s="232"/>
      <c r="E84" s="232"/>
      <c r="F84" s="61"/>
      <c r="G84" s="70"/>
    </row>
    <row r="86" spans="2:8" ht="13.8">
      <c r="B86" s="42" t="s">
        <v>105</v>
      </c>
    </row>
    <row r="87" spans="2:8" ht="15" customHeight="1">
      <c r="B87" s="27" t="s">
        <v>34</v>
      </c>
      <c r="C87" s="27" t="s">
        <v>106</v>
      </c>
      <c r="D87" s="236" t="s">
        <v>75</v>
      </c>
      <c r="E87" s="236"/>
      <c r="F87" s="71" t="s">
        <v>107</v>
      </c>
      <c r="G87" s="71" t="s">
        <v>108</v>
      </c>
      <c r="H87" s="27" t="s">
        <v>39</v>
      </c>
    </row>
    <row r="88" spans="2:8" ht="13.8">
      <c r="B88" s="47">
        <v>1</v>
      </c>
      <c r="C88" s="47"/>
      <c r="D88" s="237"/>
      <c r="E88" s="237"/>
      <c r="F88" s="73" t="s">
        <v>109</v>
      </c>
      <c r="G88" s="73" t="s">
        <v>109</v>
      </c>
      <c r="H88" s="70" t="s">
        <v>104</v>
      </c>
    </row>
    <row r="89" spans="2:8" ht="13.8">
      <c r="B89" s="47">
        <v>2</v>
      </c>
      <c r="C89" s="47"/>
      <c r="D89" s="237"/>
      <c r="E89" s="237"/>
      <c r="F89" s="73" t="s">
        <v>109</v>
      </c>
      <c r="G89" s="73" t="s">
        <v>109</v>
      </c>
      <c r="H89" s="70" t="s">
        <v>104</v>
      </c>
    </row>
    <row r="90" spans="2:8" ht="13.8">
      <c r="B90" s="47">
        <v>3</v>
      </c>
      <c r="C90" s="47"/>
      <c r="D90" s="237"/>
      <c r="E90" s="237"/>
      <c r="F90" s="73" t="s">
        <v>109</v>
      </c>
      <c r="G90" s="73" t="s">
        <v>109</v>
      </c>
      <c r="H90" s="70" t="s">
        <v>104</v>
      </c>
    </row>
    <row r="91" spans="2:8" ht="13.8">
      <c r="B91" s="47">
        <v>4</v>
      </c>
      <c r="C91" s="47"/>
      <c r="D91" s="237"/>
      <c r="E91" s="237"/>
      <c r="F91" s="73" t="s">
        <v>109</v>
      </c>
      <c r="G91" s="73" t="s">
        <v>109</v>
      </c>
      <c r="H91" s="70" t="s">
        <v>104</v>
      </c>
    </row>
    <row r="92" spans="2:8" ht="13.8">
      <c r="B92" s="47">
        <v>5</v>
      </c>
      <c r="C92" s="47"/>
      <c r="D92" s="237"/>
      <c r="E92" s="237"/>
      <c r="F92" s="73" t="s">
        <v>109</v>
      </c>
      <c r="G92" s="73" t="s">
        <v>109</v>
      </c>
      <c r="H92" s="70" t="s">
        <v>104</v>
      </c>
    </row>
    <row r="93" spans="2:8" ht="13.5" customHeight="1"/>
    <row r="94" spans="2:8" s="74" customFormat="1" ht="13.5" customHeight="1">
      <c r="B94" s="74" t="s">
        <v>110</v>
      </c>
      <c r="H94" s="75"/>
    </row>
    <row r="95" spans="2:8" s="74" customFormat="1" ht="13.5" customHeight="1">
      <c r="B95" s="71" t="s">
        <v>34</v>
      </c>
      <c r="C95" s="71" t="s">
        <v>111</v>
      </c>
      <c r="D95" s="240" t="s">
        <v>75</v>
      </c>
      <c r="E95" s="240"/>
      <c r="F95" s="71" t="s">
        <v>107</v>
      </c>
      <c r="G95" s="71" t="s">
        <v>108</v>
      </c>
      <c r="H95" s="71" t="s">
        <v>39</v>
      </c>
    </row>
    <row r="96" spans="2:8" s="74" customFormat="1" ht="13.5" customHeight="1">
      <c r="B96" s="76">
        <v>1</v>
      </c>
      <c r="C96" s="76" t="s">
        <v>112</v>
      </c>
      <c r="D96" s="235"/>
      <c r="E96" s="235"/>
      <c r="F96" s="73" t="s">
        <v>109</v>
      </c>
      <c r="G96" s="73" t="s">
        <v>109</v>
      </c>
      <c r="H96" s="77" t="s">
        <v>104</v>
      </c>
    </row>
    <row r="97" spans="2:8" s="74" customFormat="1" ht="13.5" customHeight="1">
      <c r="B97" s="76">
        <v>2</v>
      </c>
      <c r="C97" s="76"/>
      <c r="D97" s="235"/>
      <c r="E97" s="235"/>
      <c r="F97" s="73" t="s">
        <v>109</v>
      </c>
      <c r="G97" s="73" t="s">
        <v>109</v>
      </c>
      <c r="H97" s="77" t="s">
        <v>104</v>
      </c>
    </row>
    <row r="98" spans="2:8" s="74" customFormat="1" ht="13.5" customHeight="1">
      <c r="B98" s="76">
        <v>3</v>
      </c>
      <c r="C98" s="76"/>
      <c r="D98" s="235"/>
      <c r="E98" s="235"/>
      <c r="F98" s="73" t="s">
        <v>109</v>
      </c>
      <c r="G98" s="73" t="s">
        <v>109</v>
      </c>
      <c r="H98" s="77" t="s">
        <v>104</v>
      </c>
    </row>
    <row r="99" spans="2:8" s="74" customFormat="1" ht="13.5" customHeight="1">
      <c r="B99" s="76">
        <v>4</v>
      </c>
      <c r="C99" s="76"/>
      <c r="D99" s="235"/>
      <c r="E99" s="235"/>
      <c r="F99" s="73" t="s">
        <v>109</v>
      </c>
      <c r="G99" s="73" t="s">
        <v>109</v>
      </c>
      <c r="H99" s="77" t="s">
        <v>104</v>
      </c>
    </row>
    <row r="100" spans="2:8" s="74" customFormat="1" ht="13.5" customHeight="1">
      <c r="B100" s="76">
        <v>5</v>
      </c>
      <c r="C100" s="76"/>
      <c r="D100" s="235"/>
      <c r="E100" s="235"/>
      <c r="F100" s="73" t="s">
        <v>109</v>
      </c>
      <c r="G100" s="73" t="s">
        <v>109</v>
      </c>
      <c r="H100" s="77" t="s">
        <v>104</v>
      </c>
    </row>
    <row r="101" spans="2:8" ht="13.5" customHeight="1">
      <c r="B101" s="78"/>
      <c r="C101" s="78"/>
      <c r="D101" s="43"/>
      <c r="E101" s="43"/>
      <c r="F101" s="79"/>
      <c r="G101" s="79"/>
      <c r="H101" s="79"/>
    </row>
    <row r="102" spans="2:8" ht="13.8">
      <c r="B102" s="74" t="s">
        <v>113</v>
      </c>
      <c r="C102" s="74"/>
      <c r="D102" s="74"/>
      <c r="E102" s="74"/>
      <c r="F102" s="74"/>
    </row>
    <row r="103" spans="2:8" ht="13.8">
      <c r="B103" s="27" t="s">
        <v>34</v>
      </c>
      <c r="C103" s="27" t="s">
        <v>100</v>
      </c>
      <c r="D103" s="231" t="s">
        <v>75</v>
      </c>
      <c r="E103" s="231"/>
      <c r="F103" s="46" t="s">
        <v>79</v>
      </c>
      <c r="G103" s="71" t="s">
        <v>39</v>
      </c>
    </row>
    <row r="104" spans="2:8" s="80" customFormat="1" ht="36" customHeight="1">
      <c r="B104" s="81">
        <v>1</v>
      </c>
      <c r="C104" s="82" t="s">
        <v>114</v>
      </c>
      <c r="D104" s="239" t="s">
        <v>115</v>
      </c>
      <c r="E104" s="239"/>
      <c r="F104" s="82" t="s">
        <v>86</v>
      </c>
      <c r="G104" s="83" t="s">
        <v>104</v>
      </c>
      <c r="H104" s="84"/>
    </row>
    <row r="105" spans="2:8" s="80" customFormat="1" ht="36" customHeight="1">
      <c r="B105" s="81">
        <v>2</v>
      </c>
      <c r="C105" s="82" t="s">
        <v>116</v>
      </c>
      <c r="D105" s="239" t="s">
        <v>117</v>
      </c>
      <c r="E105" s="239"/>
      <c r="F105" s="82" t="s">
        <v>87</v>
      </c>
      <c r="G105" s="83" t="s">
        <v>104</v>
      </c>
      <c r="H105" s="84"/>
    </row>
    <row r="106" spans="2:8" s="80" customFormat="1" ht="21.75" customHeight="1">
      <c r="B106" s="81">
        <v>3</v>
      </c>
      <c r="C106" s="82" t="s">
        <v>118</v>
      </c>
      <c r="D106" s="239" t="s">
        <v>119</v>
      </c>
      <c r="E106" s="239"/>
      <c r="F106" s="82" t="s">
        <v>88</v>
      </c>
      <c r="G106" s="83" t="s">
        <v>104</v>
      </c>
      <c r="H106" s="84"/>
    </row>
    <row r="107" spans="2:8" s="80" customFormat="1" ht="31.5" customHeight="1">
      <c r="B107" s="81">
        <v>4</v>
      </c>
      <c r="C107" s="82" t="s">
        <v>120</v>
      </c>
      <c r="D107" s="239" t="s">
        <v>121</v>
      </c>
      <c r="E107" s="239"/>
      <c r="F107" s="82" t="s">
        <v>88</v>
      </c>
      <c r="G107" s="83" t="s">
        <v>104</v>
      </c>
      <c r="H107" s="84"/>
    </row>
    <row r="108" spans="2:8" ht="30.75" customHeight="1">
      <c r="B108" s="81">
        <v>5</v>
      </c>
      <c r="C108" s="82" t="s">
        <v>122</v>
      </c>
      <c r="D108" s="239" t="s">
        <v>123</v>
      </c>
      <c r="E108" s="239"/>
      <c r="F108" s="82" t="s">
        <v>91</v>
      </c>
      <c r="G108" s="83" t="s">
        <v>104</v>
      </c>
    </row>
    <row r="109" spans="2:8" ht="13.8">
      <c r="B109" s="74"/>
      <c r="C109" s="74"/>
      <c r="D109" s="74"/>
      <c r="E109" s="74"/>
      <c r="F109" s="74"/>
    </row>
    <row r="110" spans="2:8" ht="13.8">
      <c r="B110" s="74" t="s">
        <v>124</v>
      </c>
      <c r="C110" s="74"/>
      <c r="D110" s="74"/>
      <c r="E110" s="74"/>
      <c r="F110" s="74"/>
    </row>
    <row r="111" spans="2:8" ht="13.8">
      <c r="B111" s="85" t="s">
        <v>125</v>
      </c>
      <c r="C111" s="74"/>
      <c r="D111" s="74"/>
      <c r="E111" s="74"/>
      <c r="F111" s="74"/>
    </row>
    <row r="112" spans="2:8" ht="13.8">
      <c r="B112" s="27" t="s">
        <v>34</v>
      </c>
      <c r="C112" s="27" t="s">
        <v>100</v>
      </c>
      <c r="D112" s="231" t="s">
        <v>75</v>
      </c>
      <c r="E112" s="231"/>
      <c r="F112" s="46" t="s">
        <v>79</v>
      </c>
      <c r="G112" s="71" t="s">
        <v>39</v>
      </c>
    </row>
    <row r="113" spans="2:7" ht="33" customHeight="1">
      <c r="B113" s="76">
        <v>1</v>
      </c>
      <c r="C113" s="86" t="s">
        <v>126</v>
      </c>
      <c r="D113" s="238" t="s">
        <v>127</v>
      </c>
      <c r="E113" s="238"/>
      <c r="F113" s="86" t="s">
        <v>86</v>
      </c>
      <c r="G113" s="77" t="s">
        <v>104</v>
      </c>
    </row>
    <row r="114" spans="2:7" ht="33" customHeight="1">
      <c r="B114" s="76">
        <v>2</v>
      </c>
      <c r="C114" s="86" t="s">
        <v>128</v>
      </c>
      <c r="D114" s="238" t="s">
        <v>129</v>
      </c>
      <c r="E114" s="238"/>
      <c r="F114" s="86" t="s">
        <v>88</v>
      </c>
      <c r="G114" s="77" t="s">
        <v>104</v>
      </c>
    </row>
    <row r="115" spans="2:7" ht="33" customHeight="1">
      <c r="B115" s="76">
        <v>3</v>
      </c>
      <c r="C115" s="86" t="s">
        <v>130</v>
      </c>
      <c r="D115" s="238" t="s">
        <v>131</v>
      </c>
      <c r="E115" s="238"/>
      <c r="F115" s="86" t="s">
        <v>88</v>
      </c>
      <c r="G115" s="77" t="s">
        <v>104</v>
      </c>
    </row>
    <row r="116" spans="2:7" ht="33" customHeight="1">
      <c r="B116" s="76">
        <v>4</v>
      </c>
      <c r="C116" s="86" t="s">
        <v>132</v>
      </c>
      <c r="D116" s="238" t="s">
        <v>133</v>
      </c>
      <c r="E116" s="238"/>
      <c r="F116" s="86" t="s">
        <v>87</v>
      </c>
      <c r="G116" s="77" t="s">
        <v>104</v>
      </c>
    </row>
    <row r="117" spans="2:7" ht="33" customHeight="1">
      <c r="B117" s="76">
        <v>5</v>
      </c>
      <c r="C117" s="86" t="s">
        <v>134</v>
      </c>
      <c r="D117" s="238" t="s">
        <v>135</v>
      </c>
      <c r="E117" s="238"/>
      <c r="F117" s="86" t="s">
        <v>136</v>
      </c>
      <c r="G117" s="77" t="s">
        <v>104</v>
      </c>
    </row>
  </sheetData>
  <mergeCells count="87">
    <mergeCell ref="D84:E84"/>
    <mergeCell ref="D79:E79"/>
    <mergeCell ref="D80:E80"/>
    <mergeCell ref="D81:E81"/>
    <mergeCell ref="D82:E82"/>
    <mergeCell ref="D83:E83"/>
    <mergeCell ref="D74:E74"/>
    <mergeCell ref="D75:E75"/>
    <mergeCell ref="D76:E76"/>
    <mergeCell ref="D77:E77"/>
    <mergeCell ref="D78:E78"/>
    <mergeCell ref="D69:E69"/>
    <mergeCell ref="D70:E70"/>
    <mergeCell ref="D71:E71"/>
    <mergeCell ref="D72:E72"/>
    <mergeCell ref="D73:E73"/>
    <mergeCell ref="D99:E99"/>
    <mergeCell ref="D100:E100"/>
    <mergeCell ref="D103:E103"/>
    <mergeCell ref="D104:E104"/>
    <mergeCell ref="D105:E105"/>
    <mergeCell ref="D114:E114"/>
    <mergeCell ref="D107:E107"/>
    <mergeCell ref="D108:E108"/>
    <mergeCell ref="D112:E112"/>
    <mergeCell ref="D113:E113"/>
    <mergeCell ref="D115:E115"/>
    <mergeCell ref="D116:E116"/>
    <mergeCell ref="D117:E117"/>
    <mergeCell ref="F22:G22"/>
    <mergeCell ref="D58:E58"/>
    <mergeCell ref="D59:E59"/>
    <mergeCell ref="D60:E60"/>
    <mergeCell ref="D61:E61"/>
    <mergeCell ref="D62:E62"/>
    <mergeCell ref="D63:E63"/>
    <mergeCell ref="D64:E64"/>
    <mergeCell ref="D65:E65"/>
    <mergeCell ref="D66:E66"/>
    <mergeCell ref="D67:E67"/>
    <mergeCell ref="D68:E68"/>
    <mergeCell ref="D106:E106"/>
    <mergeCell ref="D96:E96"/>
    <mergeCell ref="D97:E97"/>
    <mergeCell ref="D98:E98"/>
    <mergeCell ref="D87:E87"/>
    <mergeCell ref="D88:E88"/>
    <mergeCell ref="D89:E89"/>
    <mergeCell ref="D90:E90"/>
    <mergeCell ref="D91:E91"/>
    <mergeCell ref="D92:E92"/>
    <mergeCell ref="D95:E95"/>
    <mergeCell ref="D57:E57"/>
    <mergeCell ref="D46:E46"/>
    <mergeCell ref="D51:E51"/>
    <mergeCell ref="D52:E52"/>
    <mergeCell ref="D53:E53"/>
    <mergeCell ref="D56:E56"/>
    <mergeCell ref="D47:E47"/>
    <mergeCell ref="D48:E48"/>
    <mergeCell ref="D49:E49"/>
    <mergeCell ref="D50:E50"/>
    <mergeCell ref="B15:C20"/>
    <mergeCell ref="F15:G15"/>
    <mergeCell ref="F16:G16"/>
    <mergeCell ref="F20:G20"/>
    <mergeCell ref="D45:E45"/>
    <mergeCell ref="F17:G17"/>
    <mergeCell ref="F18:G18"/>
    <mergeCell ref="F19:G19"/>
    <mergeCell ref="F21:G21"/>
    <mergeCell ref="B10:C10"/>
    <mergeCell ref="B11:C11"/>
    <mergeCell ref="B12:C12"/>
    <mergeCell ref="B13:C14"/>
    <mergeCell ref="E13:G13"/>
    <mergeCell ref="E14:G14"/>
    <mergeCell ref="B5:C5"/>
    <mergeCell ref="D5:E5"/>
    <mergeCell ref="B6:C6"/>
    <mergeCell ref="D6:E6"/>
    <mergeCell ref="B9:C9"/>
    <mergeCell ref="B1:C3"/>
    <mergeCell ref="D1:E3"/>
    <mergeCell ref="F1:G1"/>
    <mergeCell ref="F2:G2"/>
    <mergeCell ref="F3:G3"/>
  </mergeCells>
  <dataValidations count="3">
    <dataValidation type="list" allowBlank="1" showInputMessage="1" showErrorMessage="1" sqref="G10" xr:uid="{00000000-0002-0000-0300-000000000000}">
      <formula1>"New Development,System Enhancement,Maintenance"</formula1>
      <formula2>0</formula2>
    </dataValidation>
    <dataValidation type="list" allowBlank="1" showInputMessage="1" showErrorMessage="1" sqref="E10" xr:uid="{00000000-0002-0000-0300-000001000000}">
      <formula1>"Fixed Price,LABO"</formula1>
      <formula2>0</formula2>
    </dataValidation>
    <dataValidation type="list" allowBlank="1" showInputMessage="1" showErrorMessage="1" sqref="G57:G84 H88:H92 H96:H100 G104:G108 G113:G117" xr:uid="{00000000-0002-0000-0300-000002000000}">
      <formula1>"Done,Delayed"</formula1>
      <formula2>0</formula2>
    </dataValidation>
  </dataValidations>
  <pageMargins left="0.7" right="0.7" top="0.75" bottom="0.75" header="0.511811023622047" footer="0.511811023622047"/>
  <pageSetup scale="50"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3000000}">
          <x14:formula1>
            <xm:f>Master!$F$4:$F$13</xm:f>
          </x14:formula1>
          <x14:formula2>
            <xm:f>0</xm:f>
          </x14:formula2>
          <xm:sqref>F57:F84 F104:F108 F113:F117</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tint="0.499984740745262"/>
  </sheetPr>
  <dimension ref="A1:N44"/>
  <sheetViews>
    <sheetView view="pageBreakPreview" zoomScale="120" zoomScaleNormal="100" zoomScalePageLayoutView="120" workbookViewId="0">
      <selection activeCell="F17" sqref="F17:I17"/>
    </sheetView>
  </sheetViews>
  <sheetFormatPr defaultColWidth="9" defaultRowHeight="12.75" customHeight="1"/>
  <cols>
    <col min="1" max="1" width="2.109375" style="42" customWidth="1"/>
    <col min="2" max="2" width="6.33203125" style="42" customWidth="1"/>
    <col min="3" max="3" width="27.44140625" style="42" customWidth="1"/>
    <col min="4" max="4" width="18.33203125" style="42" customWidth="1"/>
    <col min="5" max="9" width="15.88671875" style="42" customWidth="1"/>
    <col min="10" max="11" width="16.33203125" style="42" customWidth="1"/>
    <col min="12" max="12" width="8.5546875" style="42" customWidth="1"/>
    <col min="13" max="16384" width="9" style="42"/>
  </cols>
  <sheetData>
    <row r="1" spans="1:14" ht="17.25" customHeight="1">
      <c r="A1" s="44" t="s">
        <v>22</v>
      </c>
      <c r="B1" s="213"/>
      <c r="C1" s="213"/>
      <c r="D1" s="214" t="s">
        <v>137</v>
      </c>
      <c r="E1" s="214"/>
      <c r="F1" s="214"/>
      <c r="G1" s="214"/>
      <c r="H1" s="214"/>
      <c r="I1" s="214"/>
      <c r="J1" s="219" t="str">
        <f>'0. Tasklist'!$G$1</f>
        <v>Mã số: BM03-QT-OP-01</v>
      </c>
      <c r="K1" s="219"/>
    </row>
    <row r="2" spans="1:14" ht="17.25" customHeight="1">
      <c r="A2" s="44"/>
      <c r="B2" s="213"/>
      <c r="C2" s="213"/>
      <c r="D2" s="214"/>
      <c r="E2" s="214"/>
      <c r="F2" s="214"/>
      <c r="G2" s="214"/>
      <c r="H2" s="214"/>
      <c r="I2" s="214"/>
      <c r="J2" s="219" t="str">
        <f>'0. Tasklist'!$G$2</f>
        <v>Ngày hiệu lực: 10/09/2025</v>
      </c>
      <c r="K2" s="219"/>
    </row>
    <row r="3" spans="1:14" ht="17.25" customHeight="1">
      <c r="A3" s="44"/>
      <c r="B3" s="213"/>
      <c r="C3" s="213"/>
      <c r="D3" s="214"/>
      <c r="E3" s="214"/>
      <c r="F3" s="214"/>
      <c r="G3" s="214"/>
      <c r="H3" s="214"/>
      <c r="I3" s="214"/>
      <c r="J3" s="219" t="str">
        <f>'0. Tasklist'!$G$3</f>
        <v>Lần ban hành: 02</v>
      </c>
      <c r="K3" s="219"/>
    </row>
    <row r="4" spans="1:14" ht="9" customHeight="1">
      <c r="D4" s="241"/>
      <c r="E4" s="241"/>
      <c r="F4" s="241"/>
      <c r="G4" s="241"/>
      <c r="H4" s="241"/>
      <c r="I4" s="241"/>
      <c r="J4" s="241"/>
      <c r="K4" s="241"/>
    </row>
    <row r="5" spans="1:14" s="45" customFormat="1" ht="13.8">
      <c r="A5" s="42"/>
      <c r="B5" s="42" t="s">
        <v>138</v>
      </c>
      <c r="C5" s="42"/>
      <c r="D5" s="42"/>
      <c r="E5" s="42"/>
      <c r="F5" s="42"/>
      <c r="G5" s="42"/>
      <c r="H5" s="42"/>
      <c r="I5" s="42"/>
      <c r="J5" s="42"/>
      <c r="K5" s="42"/>
      <c r="L5" s="42"/>
      <c r="M5" s="42"/>
      <c r="N5" s="42"/>
    </row>
    <row r="6" spans="1:14" s="45" customFormat="1" ht="12.75" customHeight="1">
      <c r="A6" s="42"/>
      <c r="B6" s="27" t="s">
        <v>34</v>
      </c>
      <c r="C6" s="27" t="s">
        <v>16</v>
      </c>
      <c r="D6" s="27" t="s">
        <v>139</v>
      </c>
      <c r="E6" s="27" t="s">
        <v>140</v>
      </c>
      <c r="F6" s="236" t="s">
        <v>141</v>
      </c>
      <c r="G6" s="236"/>
      <c r="H6" s="236"/>
      <c r="I6" s="236"/>
      <c r="J6" s="42"/>
      <c r="K6" s="42"/>
      <c r="L6" s="43"/>
    </row>
    <row r="7" spans="1:14" s="45" customFormat="1" ht="13.8">
      <c r="A7" s="42"/>
      <c r="B7" s="47">
        <v>1</v>
      </c>
      <c r="C7" s="87" t="s">
        <v>9</v>
      </c>
      <c r="D7" s="87" t="s">
        <v>11</v>
      </c>
      <c r="E7" s="87" t="s">
        <v>81</v>
      </c>
      <c r="F7" s="242" t="s">
        <v>142</v>
      </c>
      <c r="G7" s="242"/>
      <c r="H7" s="242"/>
      <c r="I7" s="242"/>
      <c r="J7" s="42"/>
      <c r="K7" s="42"/>
    </row>
    <row r="8" spans="1:14" s="45" customFormat="1" ht="13.8">
      <c r="A8" s="42"/>
      <c r="B8" s="47">
        <v>2</v>
      </c>
      <c r="C8" s="87" t="s">
        <v>143</v>
      </c>
      <c r="D8" s="87" t="s">
        <v>144</v>
      </c>
      <c r="E8" s="87" t="s">
        <v>81</v>
      </c>
      <c r="F8" s="242" t="s">
        <v>142</v>
      </c>
      <c r="G8" s="242"/>
      <c r="H8" s="242"/>
      <c r="I8" s="242"/>
      <c r="J8" s="42"/>
      <c r="K8" s="42"/>
    </row>
    <row r="9" spans="1:14" s="45" customFormat="1" ht="13.8">
      <c r="A9" s="42"/>
      <c r="B9" s="47">
        <v>3</v>
      </c>
      <c r="C9" s="87" t="s">
        <v>145</v>
      </c>
      <c r="D9" s="87" t="s">
        <v>146</v>
      </c>
      <c r="E9" s="87" t="s">
        <v>81</v>
      </c>
      <c r="F9" s="242" t="s">
        <v>142</v>
      </c>
      <c r="G9" s="242"/>
      <c r="H9" s="242"/>
      <c r="I9" s="242"/>
      <c r="J9" s="42"/>
      <c r="K9" s="42"/>
    </row>
    <row r="10" spans="1:14" s="45" customFormat="1" ht="13.8">
      <c r="A10" s="42"/>
      <c r="B10" s="47">
        <v>4</v>
      </c>
      <c r="C10" s="87" t="s">
        <v>147</v>
      </c>
      <c r="D10" s="87" t="s">
        <v>148</v>
      </c>
      <c r="E10" s="87" t="s">
        <v>81</v>
      </c>
      <c r="F10" s="242" t="s">
        <v>142</v>
      </c>
      <c r="G10" s="242"/>
      <c r="H10" s="242"/>
      <c r="I10" s="242"/>
      <c r="J10" s="42"/>
      <c r="K10" s="42"/>
    </row>
    <row r="11" spans="1:14" s="45" customFormat="1" ht="13.8">
      <c r="A11" s="42"/>
      <c r="B11" s="47">
        <v>5</v>
      </c>
      <c r="C11" s="87" t="s">
        <v>149</v>
      </c>
      <c r="D11" s="87" t="s">
        <v>150</v>
      </c>
      <c r="E11" s="87" t="s">
        <v>81</v>
      </c>
      <c r="F11" s="242" t="s">
        <v>142</v>
      </c>
      <c r="G11" s="242"/>
      <c r="H11" s="242"/>
      <c r="I11" s="242"/>
      <c r="J11" s="42"/>
      <c r="K11" s="42"/>
    </row>
    <row r="12" spans="1:14" s="45" customFormat="1" ht="13.8">
      <c r="A12" s="42"/>
      <c r="B12" s="47">
        <v>6</v>
      </c>
      <c r="C12" s="87" t="s">
        <v>151</v>
      </c>
      <c r="D12" s="87" t="s">
        <v>152</v>
      </c>
      <c r="E12" s="87" t="s">
        <v>81</v>
      </c>
      <c r="F12" s="242" t="s">
        <v>142</v>
      </c>
      <c r="G12" s="242"/>
      <c r="H12" s="242"/>
      <c r="I12" s="242"/>
      <c r="J12" s="42"/>
      <c r="K12" s="42"/>
    </row>
    <row r="13" spans="1:14" s="45" customFormat="1" ht="13.8">
      <c r="A13" s="42"/>
      <c r="B13" s="47">
        <v>7</v>
      </c>
      <c r="C13" s="87" t="s">
        <v>153</v>
      </c>
      <c r="D13" s="87" t="s">
        <v>154</v>
      </c>
      <c r="E13" s="87" t="s">
        <v>81</v>
      </c>
      <c r="F13" s="242" t="s">
        <v>142</v>
      </c>
      <c r="G13" s="242"/>
      <c r="H13" s="242"/>
      <c r="I13" s="242"/>
      <c r="J13" s="42"/>
      <c r="K13" s="42"/>
    </row>
    <row r="14" spans="1:14" s="45" customFormat="1" ht="13.8">
      <c r="A14" s="42"/>
      <c r="B14" s="47">
        <v>8</v>
      </c>
      <c r="C14" s="87" t="s">
        <v>80</v>
      </c>
      <c r="D14" s="87" t="s">
        <v>155</v>
      </c>
      <c r="E14" s="87" t="s">
        <v>156</v>
      </c>
      <c r="F14" s="242" t="s">
        <v>142</v>
      </c>
      <c r="G14" s="242"/>
      <c r="H14" s="242"/>
      <c r="I14" s="242"/>
      <c r="J14" s="42"/>
      <c r="K14" s="42"/>
    </row>
    <row r="15" spans="1:14" s="45" customFormat="1" ht="13.8">
      <c r="A15" s="42"/>
      <c r="B15" s="47">
        <v>9</v>
      </c>
      <c r="C15" s="87"/>
      <c r="D15" s="87"/>
      <c r="E15" s="87"/>
      <c r="F15" s="243"/>
      <c r="G15" s="243"/>
      <c r="H15" s="243"/>
      <c r="I15" s="243"/>
      <c r="J15" s="42"/>
      <c r="K15" s="42"/>
    </row>
    <row r="16" spans="1:14" s="45" customFormat="1" ht="13.8">
      <c r="A16" s="42"/>
      <c r="B16" s="47">
        <v>10</v>
      </c>
      <c r="C16" s="87"/>
      <c r="D16" s="87"/>
      <c r="E16" s="87"/>
      <c r="F16" s="243"/>
      <c r="G16" s="243"/>
      <c r="H16" s="243"/>
      <c r="I16" s="243"/>
      <c r="J16" s="42"/>
      <c r="K16" s="42"/>
    </row>
    <row r="17" spans="1:12" s="45" customFormat="1" ht="13.8">
      <c r="A17" s="42"/>
      <c r="B17" s="47">
        <v>11</v>
      </c>
      <c r="C17" s="87"/>
      <c r="D17" s="87"/>
      <c r="E17" s="87"/>
      <c r="F17" s="243"/>
      <c r="G17" s="243"/>
      <c r="H17" s="243"/>
      <c r="I17" s="243"/>
      <c r="J17" s="42"/>
      <c r="K17" s="42"/>
    </row>
    <row r="18" spans="1:12" s="45" customFormat="1" ht="13.8">
      <c r="A18" s="42"/>
      <c r="J18" s="42"/>
      <c r="K18" s="42"/>
      <c r="L18" s="43"/>
    </row>
    <row r="19" spans="1:12" s="45" customFormat="1" ht="13.8">
      <c r="A19" s="42"/>
      <c r="B19" s="42" t="s">
        <v>157</v>
      </c>
      <c r="C19" s="42"/>
      <c r="D19" s="42"/>
      <c r="E19" s="42"/>
      <c r="F19" s="42"/>
      <c r="G19" s="42"/>
      <c r="L19" s="43"/>
    </row>
    <row r="20" spans="1:12" s="45" customFormat="1" ht="13.8">
      <c r="A20" s="42"/>
      <c r="B20" s="27"/>
      <c r="C20" s="27"/>
      <c r="D20" s="27"/>
      <c r="E20" s="88"/>
      <c r="F20" s="88"/>
      <c r="G20" s="88"/>
      <c r="H20" s="88" t="s">
        <v>16</v>
      </c>
      <c r="I20" s="88"/>
      <c r="J20" s="88"/>
      <c r="K20" s="88"/>
      <c r="L20" s="43"/>
    </row>
    <row r="21" spans="1:12" s="91" customFormat="1" ht="27.6">
      <c r="A21" s="89"/>
      <c r="B21" s="27" t="s">
        <v>34</v>
      </c>
      <c r="C21" s="27" t="s">
        <v>158</v>
      </c>
      <c r="D21" s="27" t="s">
        <v>79</v>
      </c>
      <c r="E21" s="88" t="s">
        <v>9</v>
      </c>
      <c r="F21" s="88" t="s">
        <v>143</v>
      </c>
      <c r="G21" s="88" t="s">
        <v>145</v>
      </c>
      <c r="H21" s="88" t="s">
        <v>147</v>
      </c>
      <c r="I21" s="88" t="s">
        <v>149</v>
      </c>
      <c r="J21" s="88" t="s">
        <v>151</v>
      </c>
      <c r="K21" s="88" t="s">
        <v>80</v>
      </c>
      <c r="L21" s="90"/>
    </row>
    <row r="22" spans="1:12" s="45" customFormat="1" ht="13.8">
      <c r="A22" s="42"/>
      <c r="B22" s="47">
        <v>1</v>
      </c>
      <c r="C22" s="67" t="s">
        <v>86</v>
      </c>
      <c r="D22" s="69" t="s">
        <v>86</v>
      </c>
      <c r="E22" s="72" t="s">
        <v>159</v>
      </c>
      <c r="F22" s="72" t="s">
        <v>160</v>
      </c>
      <c r="G22" s="72" t="s">
        <v>161</v>
      </c>
      <c r="H22" s="72" t="s">
        <v>162</v>
      </c>
      <c r="I22" s="72" t="s">
        <v>162</v>
      </c>
      <c r="J22" s="72" t="s">
        <v>162</v>
      </c>
      <c r="K22" s="72" t="s">
        <v>162</v>
      </c>
      <c r="L22" s="43"/>
    </row>
    <row r="23" spans="1:12" s="45" customFormat="1" ht="13.8">
      <c r="A23" s="42"/>
      <c r="B23" s="47">
        <v>2</v>
      </c>
      <c r="C23" s="67" t="s">
        <v>87</v>
      </c>
      <c r="D23" s="69" t="s">
        <v>87</v>
      </c>
      <c r="E23" s="72" t="s">
        <v>159</v>
      </c>
      <c r="F23" s="72" t="s">
        <v>161</v>
      </c>
      <c r="G23" s="72" t="s">
        <v>160</v>
      </c>
      <c r="H23" s="72" t="s">
        <v>162</v>
      </c>
      <c r="I23" s="72" t="s">
        <v>162</v>
      </c>
      <c r="J23" s="72" t="s">
        <v>162</v>
      </c>
      <c r="K23" s="72" t="s">
        <v>162</v>
      </c>
      <c r="L23" s="43"/>
    </row>
    <row r="24" spans="1:12" s="45" customFormat="1" ht="13.8">
      <c r="A24" s="42"/>
      <c r="B24" s="47">
        <v>3</v>
      </c>
      <c r="C24" s="67" t="s">
        <v>163</v>
      </c>
      <c r="D24" s="69" t="s">
        <v>89</v>
      </c>
      <c r="E24" s="72" t="s">
        <v>159</v>
      </c>
      <c r="F24" s="72" t="s">
        <v>162</v>
      </c>
      <c r="G24" s="72" t="s">
        <v>162</v>
      </c>
      <c r="H24" s="72" t="s">
        <v>162</v>
      </c>
      <c r="I24" s="72" t="s">
        <v>160</v>
      </c>
      <c r="J24" s="72" t="s">
        <v>162</v>
      </c>
      <c r="K24" s="72" t="s">
        <v>162</v>
      </c>
      <c r="L24" s="43"/>
    </row>
    <row r="25" spans="1:12" s="45" customFormat="1" ht="13.8">
      <c r="A25" s="42"/>
      <c r="B25" s="47">
        <v>4</v>
      </c>
      <c r="C25" s="67"/>
      <c r="D25" s="69"/>
      <c r="E25" s="72"/>
      <c r="F25" s="72"/>
      <c r="G25" s="72"/>
      <c r="H25" s="72"/>
      <c r="I25" s="72"/>
      <c r="J25" s="72"/>
      <c r="K25" s="72"/>
      <c r="L25" s="43"/>
    </row>
    <row r="26" spans="1:12" s="45" customFormat="1" ht="13.8">
      <c r="A26" s="42"/>
      <c r="B26" s="47">
        <v>5</v>
      </c>
      <c r="C26" s="67"/>
      <c r="D26" s="69"/>
      <c r="E26" s="72"/>
      <c r="F26" s="72"/>
      <c r="G26" s="72"/>
      <c r="H26" s="72"/>
      <c r="I26" s="72"/>
      <c r="J26" s="72"/>
      <c r="K26" s="72"/>
      <c r="L26" s="43"/>
    </row>
    <row r="27" spans="1:12" s="45" customFormat="1" ht="13.8">
      <c r="A27" s="42"/>
      <c r="B27" s="47">
        <v>6</v>
      </c>
      <c r="C27" s="67"/>
      <c r="D27" s="69"/>
      <c r="E27" s="72"/>
      <c r="F27" s="72"/>
      <c r="G27" s="72"/>
      <c r="H27" s="72"/>
      <c r="I27" s="72"/>
      <c r="J27" s="72"/>
      <c r="K27" s="72"/>
      <c r="L27" s="43"/>
    </row>
    <row r="28" spans="1:12" s="45" customFormat="1" ht="13.8">
      <c r="A28" s="42"/>
      <c r="B28" s="47">
        <v>7</v>
      </c>
      <c r="C28" s="67"/>
      <c r="D28" s="69"/>
      <c r="E28" s="72"/>
      <c r="F28" s="72"/>
      <c r="G28" s="72"/>
      <c r="H28" s="72"/>
      <c r="I28" s="72"/>
      <c r="J28" s="72"/>
      <c r="K28" s="72"/>
      <c r="L28" s="43"/>
    </row>
    <row r="29" spans="1:12" s="45" customFormat="1" ht="13.8">
      <c r="A29" s="42"/>
      <c r="B29" s="47">
        <v>8</v>
      </c>
      <c r="C29" s="67"/>
      <c r="D29" s="69"/>
      <c r="E29" s="72"/>
      <c r="F29" s="72"/>
      <c r="G29" s="72"/>
      <c r="H29" s="72"/>
      <c r="I29" s="72"/>
      <c r="J29" s="72"/>
      <c r="K29" s="72"/>
      <c r="L29" s="43"/>
    </row>
    <row r="30" spans="1:12" s="45" customFormat="1" ht="13.8">
      <c r="A30" s="42"/>
      <c r="B30" s="47">
        <v>9</v>
      </c>
      <c r="C30" s="67"/>
      <c r="D30" s="69"/>
      <c r="E30" s="72"/>
      <c r="F30" s="72"/>
      <c r="G30" s="72"/>
      <c r="H30" s="72"/>
      <c r="I30" s="72"/>
      <c r="J30" s="72"/>
      <c r="K30" s="72"/>
      <c r="L30" s="43"/>
    </row>
    <row r="31" spans="1:12" s="45" customFormat="1" ht="13.8">
      <c r="A31" s="42"/>
      <c r="B31" s="47">
        <v>10</v>
      </c>
      <c r="C31" s="67"/>
      <c r="D31" s="69"/>
      <c r="E31" s="72"/>
      <c r="F31" s="72"/>
      <c r="G31" s="72"/>
      <c r="H31" s="72"/>
      <c r="I31" s="72"/>
      <c r="J31" s="72"/>
      <c r="K31" s="72"/>
      <c r="L31" s="43"/>
    </row>
    <row r="32" spans="1:12" s="45" customFormat="1" ht="13.8">
      <c r="A32" s="42"/>
      <c r="L32" s="43"/>
    </row>
    <row r="33" spans="2:9" ht="13.8">
      <c r="B33" s="42" t="s">
        <v>164</v>
      </c>
    </row>
    <row r="34" spans="2:9" ht="13.8">
      <c r="B34" s="27" t="s">
        <v>34</v>
      </c>
      <c r="C34" s="27" t="s">
        <v>15</v>
      </c>
      <c r="D34" s="27" t="s">
        <v>16</v>
      </c>
      <c r="E34" s="27" t="s">
        <v>165</v>
      </c>
      <c r="F34" s="27" t="s">
        <v>166</v>
      </c>
      <c r="G34" s="27" t="s">
        <v>167</v>
      </c>
      <c r="H34" s="27" t="s">
        <v>168</v>
      </c>
      <c r="I34" s="27" t="s">
        <v>140</v>
      </c>
    </row>
    <row r="35" spans="2:9" ht="13.8">
      <c r="B35" s="47">
        <v>1</v>
      </c>
      <c r="C35" s="87" t="s">
        <v>169</v>
      </c>
      <c r="D35" s="87" t="s">
        <v>9</v>
      </c>
      <c r="E35" s="87"/>
      <c r="F35" s="92">
        <v>45658</v>
      </c>
      <c r="G35" s="92">
        <v>46022</v>
      </c>
      <c r="H35" s="69"/>
      <c r="I35" s="87" t="s">
        <v>81</v>
      </c>
    </row>
    <row r="36" spans="2:9" ht="13.8">
      <c r="B36" s="47">
        <v>2</v>
      </c>
      <c r="C36" s="87" t="s">
        <v>170</v>
      </c>
      <c r="D36" s="87" t="s">
        <v>143</v>
      </c>
      <c r="E36" s="87"/>
      <c r="F36" s="92">
        <v>45658</v>
      </c>
      <c r="G36" s="92">
        <v>46022</v>
      </c>
      <c r="H36" s="69"/>
      <c r="I36" s="87" t="s">
        <v>81</v>
      </c>
    </row>
    <row r="37" spans="2:9" ht="13.8">
      <c r="B37" s="47">
        <v>3</v>
      </c>
      <c r="C37" s="87" t="s">
        <v>171</v>
      </c>
      <c r="D37" s="87" t="s">
        <v>145</v>
      </c>
      <c r="E37" s="87"/>
      <c r="F37" s="92">
        <v>45658</v>
      </c>
      <c r="G37" s="92">
        <v>46022</v>
      </c>
      <c r="H37" s="69"/>
      <c r="I37" s="87" t="s">
        <v>81</v>
      </c>
    </row>
    <row r="38" spans="2:9" ht="13.8">
      <c r="B38" s="47">
        <v>4</v>
      </c>
      <c r="C38" s="87" t="s">
        <v>172</v>
      </c>
      <c r="D38" s="87" t="s">
        <v>147</v>
      </c>
      <c r="E38" s="87"/>
      <c r="F38" s="92">
        <v>45658</v>
      </c>
      <c r="G38" s="92">
        <v>46022</v>
      </c>
      <c r="H38" s="69"/>
      <c r="I38" s="87" t="s">
        <v>81</v>
      </c>
    </row>
    <row r="39" spans="2:9" ht="13.8">
      <c r="B39" s="47">
        <v>5</v>
      </c>
      <c r="C39" s="87" t="s">
        <v>173</v>
      </c>
      <c r="D39" s="87" t="s">
        <v>147</v>
      </c>
      <c r="E39" s="87"/>
      <c r="F39" s="92">
        <v>45658</v>
      </c>
      <c r="G39" s="92">
        <v>46022</v>
      </c>
      <c r="H39" s="69"/>
      <c r="I39" s="87" t="s">
        <v>81</v>
      </c>
    </row>
    <row r="40" spans="2:9" ht="13.8">
      <c r="B40" s="47">
        <v>6</v>
      </c>
      <c r="C40" s="87" t="s">
        <v>174</v>
      </c>
      <c r="D40" s="87" t="s">
        <v>149</v>
      </c>
      <c r="E40" s="87"/>
      <c r="F40" s="92">
        <v>45658</v>
      </c>
      <c r="G40" s="92">
        <v>46022</v>
      </c>
      <c r="H40" s="69"/>
      <c r="I40" s="87" t="s">
        <v>81</v>
      </c>
    </row>
    <row r="41" spans="2:9" ht="13.8">
      <c r="B41" s="47">
        <v>7</v>
      </c>
      <c r="C41" s="87" t="s">
        <v>175</v>
      </c>
      <c r="D41" s="87" t="s">
        <v>149</v>
      </c>
      <c r="E41" s="87"/>
      <c r="F41" s="92">
        <v>45658</v>
      </c>
      <c r="G41" s="92">
        <v>46022</v>
      </c>
      <c r="H41" s="69"/>
      <c r="I41" s="87" t="s">
        <v>81</v>
      </c>
    </row>
    <row r="42" spans="2:9" ht="13.8">
      <c r="B42" s="47">
        <v>8</v>
      </c>
      <c r="C42" s="87" t="s">
        <v>176</v>
      </c>
      <c r="D42" s="87" t="s">
        <v>151</v>
      </c>
      <c r="E42" s="87"/>
      <c r="F42" s="92">
        <v>45658</v>
      </c>
      <c r="G42" s="92">
        <v>46022</v>
      </c>
      <c r="H42" s="69"/>
      <c r="I42" s="87" t="s">
        <v>81</v>
      </c>
    </row>
    <row r="43" spans="2:9" ht="13.8">
      <c r="B43" s="47">
        <v>9</v>
      </c>
      <c r="C43" s="87" t="s">
        <v>177</v>
      </c>
      <c r="D43" s="87" t="s">
        <v>153</v>
      </c>
      <c r="E43" s="87"/>
      <c r="F43" s="92">
        <v>45658</v>
      </c>
      <c r="G43" s="92">
        <v>46022</v>
      </c>
      <c r="H43" s="69"/>
      <c r="I43" s="87" t="s">
        <v>81</v>
      </c>
    </row>
    <row r="44" spans="2:9" ht="13.8">
      <c r="B44" s="47">
        <v>10</v>
      </c>
      <c r="C44" s="87" t="s">
        <v>178</v>
      </c>
      <c r="D44" s="87" t="s">
        <v>80</v>
      </c>
      <c r="E44" s="87"/>
      <c r="F44" s="92">
        <v>45658</v>
      </c>
      <c r="G44" s="92">
        <v>46022</v>
      </c>
      <c r="H44" s="69"/>
      <c r="I44" s="87" t="s">
        <v>156</v>
      </c>
    </row>
  </sheetData>
  <mergeCells count="18">
    <mergeCell ref="F15:I15"/>
    <mergeCell ref="F16:I16"/>
    <mergeCell ref="F17:I17"/>
    <mergeCell ref="F10:I10"/>
    <mergeCell ref="F11:I11"/>
    <mergeCell ref="F12:I12"/>
    <mergeCell ref="F13:I13"/>
    <mergeCell ref="F14:I14"/>
    <mergeCell ref="D4:K4"/>
    <mergeCell ref="F6:I6"/>
    <mergeCell ref="F7:I7"/>
    <mergeCell ref="F8:I8"/>
    <mergeCell ref="F9:I9"/>
    <mergeCell ref="B1:C3"/>
    <mergeCell ref="D1:I3"/>
    <mergeCell ref="J1:K1"/>
    <mergeCell ref="J2:K2"/>
    <mergeCell ref="J3:K3"/>
  </mergeCells>
  <dataValidations count="2">
    <dataValidation type="list" allowBlank="1" showInputMessage="1" showErrorMessage="1" sqref="E21:K21 D35:D44" xr:uid="{00000000-0002-0000-0400-000000000000}">
      <formula1>$C$7:$C$17</formula1>
      <formula2>0</formula2>
    </dataValidation>
    <dataValidation type="list" allowBlank="1" showInputMessage="1" showErrorMessage="1" sqref="E7:E17 I35:I44" xr:uid="{00000000-0002-0000-0400-000001000000}">
      <formula1>"External,Internal"</formula1>
      <formula2>0</formula2>
    </dataValidation>
  </dataValidations>
  <pageMargins left="0.7" right="0.7" top="0.75" bottom="0.75" header="0.511811023622047" footer="0.511811023622047"/>
  <pageSetup scale="54"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Master!$B$4:$B$8</xm:f>
          </x14:formula1>
          <x14:formula2>
            <xm:f>0</xm:f>
          </x14:formula2>
          <xm:sqref>E22:K31</xm:sqref>
        </x14:dataValidation>
        <x14:dataValidation type="list" allowBlank="1" showInputMessage="1" showErrorMessage="1" xr:uid="{00000000-0002-0000-0400-000003000000}">
          <x14:formula1>
            <xm:f>'1. Project Information'!$C$27:$C$35</xm:f>
          </x14:formula1>
          <x14:formula2>
            <xm:f>0</xm:f>
          </x14:formula2>
          <xm:sqref>D22:D31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15"/>
  <sheetViews>
    <sheetView tabSelected="1" view="pageBreakPreview" topLeftCell="A4" zoomScaleNormal="100" zoomScaleSheetLayoutView="100" zoomScalePageLayoutView="120" workbookViewId="0">
      <selection activeCell="F9" sqref="F9"/>
    </sheetView>
  </sheetViews>
  <sheetFormatPr defaultColWidth="9" defaultRowHeight="12.75" customHeight="1"/>
  <cols>
    <col min="1" max="1" width="2.109375" style="42" customWidth="1"/>
    <col min="2" max="2" width="4.88671875" style="42" customWidth="1"/>
    <col min="3" max="3" width="34.5546875" style="42" customWidth="1"/>
    <col min="4" max="4" width="21.6640625" style="42" customWidth="1"/>
    <col min="5" max="5" width="38.33203125" style="42" customWidth="1"/>
    <col min="6" max="6" width="58.88671875" style="42" customWidth="1"/>
    <col min="7" max="7" width="41.44140625" style="42" customWidth="1"/>
    <col min="8" max="8" width="27.88671875" style="42" customWidth="1"/>
    <col min="9" max="9" width="20.44140625" style="42" customWidth="1"/>
    <col min="10" max="11" width="14.5546875" style="42" customWidth="1"/>
    <col min="12" max="12" width="8.5546875" style="42" customWidth="1"/>
    <col min="13" max="16384" width="9" style="42"/>
  </cols>
  <sheetData>
    <row r="1" spans="1:12" ht="17.25" customHeight="1">
      <c r="A1" s="44" t="s">
        <v>22</v>
      </c>
      <c r="B1" s="213"/>
      <c r="C1" s="213"/>
      <c r="D1" s="244" t="s">
        <v>179</v>
      </c>
      <c r="E1" s="244"/>
      <c r="F1" s="244"/>
      <c r="G1" s="93" t="str">
        <f>'0. Tasklist'!$G$1</f>
        <v>Mã số: BM03-QT-OP-01</v>
      </c>
      <c r="H1" s="94"/>
      <c r="I1" s="95"/>
    </row>
    <row r="2" spans="1:12" ht="17.25" customHeight="1">
      <c r="A2" s="44"/>
      <c r="B2" s="213"/>
      <c r="C2" s="213"/>
      <c r="D2" s="244"/>
      <c r="E2" s="244"/>
      <c r="F2" s="244"/>
      <c r="G2" s="93" t="str">
        <f>'0. Tasklist'!$G$2</f>
        <v>Ngày hiệu lực: 10/09/2025</v>
      </c>
      <c r="H2" s="94"/>
      <c r="I2" s="95"/>
    </row>
    <row r="3" spans="1:12" ht="17.25" customHeight="1">
      <c r="A3" s="44"/>
      <c r="B3" s="213"/>
      <c r="C3" s="213"/>
      <c r="D3" s="244"/>
      <c r="E3" s="244"/>
      <c r="F3" s="244"/>
      <c r="G3" s="93" t="str">
        <f>'0. Tasklist'!$G$3</f>
        <v>Lần ban hành: 02</v>
      </c>
      <c r="H3" s="94"/>
      <c r="I3" s="95"/>
    </row>
    <row r="5" spans="1:12" s="62" customFormat="1" ht="15" customHeight="1">
      <c r="B5" s="96" t="s">
        <v>180</v>
      </c>
      <c r="C5" s="96"/>
      <c r="D5" s="96"/>
      <c r="E5" s="96"/>
      <c r="F5" s="96"/>
      <c r="G5" s="96"/>
      <c r="H5" s="96"/>
      <c r="I5" s="96"/>
      <c r="J5" s="97"/>
      <c r="K5" s="98"/>
    </row>
    <row r="6" spans="1:12" s="45" customFormat="1" ht="25.35" customHeight="1">
      <c r="A6" s="42"/>
      <c r="B6" s="99" t="s">
        <v>34</v>
      </c>
      <c r="C6" s="99" t="s">
        <v>181</v>
      </c>
      <c r="D6" s="245" t="s">
        <v>75</v>
      </c>
      <c r="E6" s="245"/>
      <c r="F6" s="99" t="s">
        <v>182</v>
      </c>
      <c r="G6" s="99" t="s">
        <v>183</v>
      </c>
      <c r="H6" s="100" t="s">
        <v>184</v>
      </c>
      <c r="I6" s="101" t="s">
        <v>185</v>
      </c>
      <c r="J6" s="97"/>
      <c r="K6" s="98"/>
      <c r="L6" s="43"/>
    </row>
    <row r="7" spans="1:12" s="102" customFormat="1" ht="46.8">
      <c r="B7" s="103">
        <f t="shared" ref="B7:B21" si="0">ROW()-6</f>
        <v>1</v>
      </c>
      <c r="C7" s="104" t="s">
        <v>563</v>
      </c>
      <c r="D7" s="246" t="s">
        <v>564</v>
      </c>
      <c r="E7" s="246"/>
      <c r="F7" s="104" t="s">
        <v>565</v>
      </c>
      <c r="G7" s="104"/>
      <c r="H7" s="105" t="s">
        <v>566</v>
      </c>
      <c r="I7" s="104"/>
      <c r="J7" s="106"/>
      <c r="K7" s="107"/>
    </row>
    <row r="8" spans="1:12" s="102" customFormat="1" ht="62.4">
      <c r="B8" s="108">
        <f t="shared" si="0"/>
        <v>2</v>
      </c>
      <c r="C8" s="109" t="s">
        <v>187</v>
      </c>
      <c r="D8" s="247" t="s">
        <v>188</v>
      </c>
      <c r="E8" s="247"/>
      <c r="F8" s="110" t="s">
        <v>567</v>
      </c>
      <c r="G8" s="110"/>
      <c r="H8" s="111" t="s">
        <v>566</v>
      </c>
      <c r="I8" s="110"/>
      <c r="J8" s="106"/>
      <c r="K8" s="107"/>
    </row>
    <row r="9" spans="1:12" s="102" customFormat="1" ht="66" customHeight="1">
      <c r="B9" s="108">
        <v>3</v>
      </c>
      <c r="C9" s="109"/>
      <c r="D9" s="268" t="s">
        <v>580</v>
      </c>
      <c r="E9" s="269"/>
      <c r="F9" s="110" t="s">
        <v>581</v>
      </c>
      <c r="G9" s="110"/>
      <c r="H9" s="111" t="s">
        <v>566</v>
      </c>
      <c r="I9" s="110"/>
      <c r="J9" s="106"/>
      <c r="K9" s="107"/>
    </row>
    <row r="10" spans="1:12" s="102" customFormat="1" ht="46.8">
      <c r="B10" s="112">
        <f t="shared" si="0"/>
        <v>4</v>
      </c>
      <c r="C10" s="113" t="s">
        <v>563</v>
      </c>
      <c r="D10" s="248" t="s">
        <v>564</v>
      </c>
      <c r="E10" s="249"/>
      <c r="F10" s="114" t="s">
        <v>565</v>
      </c>
      <c r="G10" s="114"/>
      <c r="H10" s="115" t="s">
        <v>566</v>
      </c>
      <c r="I10" s="104"/>
      <c r="J10" s="106"/>
      <c r="K10" s="107"/>
    </row>
    <row r="11" spans="1:12" s="102" customFormat="1" ht="46.8">
      <c r="B11" s="38">
        <f t="shared" si="0"/>
        <v>5</v>
      </c>
      <c r="C11" s="116" t="s">
        <v>187</v>
      </c>
      <c r="D11" s="250" t="s">
        <v>572</v>
      </c>
      <c r="E11" s="250"/>
      <c r="F11" s="116" t="s">
        <v>568</v>
      </c>
      <c r="G11" s="116"/>
      <c r="H11" s="117" t="s">
        <v>566</v>
      </c>
      <c r="I11" s="118"/>
      <c r="J11" s="106"/>
      <c r="K11" s="107"/>
    </row>
    <row r="12" spans="1:12" s="102" customFormat="1" ht="42" customHeight="1">
      <c r="B12" s="38">
        <f t="shared" si="0"/>
        <v>6</v>
      </c>
      <c r="C12" s="116" t="s">
        <v>190</v>
      </c>
      <c r="D12" s="251" t="s">
        <v>191</v>
      </c>
      <c r="E12" s="251"/>
      <c r="F12" s="116" t="s">
        <v>192</v>
      </c>
      <c r="G12" s="116" t="s">
        <v>189</v>
      </c>
      <c r="H12" s="117" t="s">
        <v>186</v>
      </c>
      <c r="I12" s="116"/>
      <c r="J12" s="106"/>
      <c r="K12" s="107"/>
    </row>
    <row r="13" spans="1:12" s="102" customFormat="1" ht="51.75" customHeight="1">
      <c r="B13" s="38">
        <f t="shared" si="0"/>
        <v>7</v>
      </c>
      <c r="C13" s="116" t="s">
        <v>193</v>
      </c>
      <c r="D13" s="252" t="s">
        <v>194</v>
      </c>
      <c r="E13" s="252"/>
      <c r="F13" s="116" t="s">
        <v>195</v>
      </c>
      <c r="G13" s="116" t="s">
        <v>196</v>
      </c>
      <c r="H13" s="117" t="s">
        <v>186</v>
      </c>
      <c r="I13" s="116"/>
      <c r="J13" s="106"/>
      <c r="K13" s="107"/>
    </row>
    <row r="14" spans="1:12" s="102" customFormat="1" ht="42" customHeight="1">
      <c r="B14" s="38">
        <f t="shared" si="0"/>
        <v>8</v>
      </c>
      <c r="C14" s="116" t="s">
        <v>197</v>
      </c>
      <c r="D14" s="252" t="s">
        <v>198</v>
      </c>
      <c r="E14" s="252"/>
      <c r="F14" s="116" t="s">
        <v>199</v>
      </c>
      <c r="G14" s="116" t="s">
        <v>200</v>
      </c>
      <c r="H14" s="117" t="s">
        <v>186</v>
      </c>
      <c r="I14" s="116"/>
      <c r="J14" s="106"/>
      <c r="K14" s="107"/>
    </row>
    <row r="15" spans="1:12" s="102" customFormat="1" ht="42" customHeight="1">
      <c r="B15" s="38">
        <f t="shared" si="0"/>
        <v>9</v>
      </c>
      <c r="C15" s="116" t="s">
        <v>201</v>
      </c>
      <c r="D15" s="252" t="s">
        <v>202</v>
      </c>
      <c r="E15" s="252"/>
      <c r="F15" s="116" t="s">
        <v>203</v>
      </c>
      <c r="G15" s="116" t="s">
        <v>204</v>
      </c>
      <c r="H15" s="117" t="s">
        <v>186</v>
      </c>
      <c r="I15" s="116"/>
      <c r="J15" s="106"/>
      <c r="K15" s="107"/>
    </row>
    <row r="16" spans="1:12" s="102" customFormat="1" ht="42" customHeight="1">
      <c r="B16" s="38">
        <f t="shared" si="0"/>
        <v>10</v>
      </c>
      <c r="C16" s="116" t="s">
        <v>205</v>
      </c>
      <c r="D16" s="252" t="s">
        <v>206</v>
      </c>
      <c r="E16" s="252"/>
      <c r="F16" s="116" t="s">
        <v>207</v>
      </c>
      <c r="G16" s="116" t="s">
        <v>204</v>
      </c>
      <c r="H16" s="117" t="s">
        <v>186</v>
      </c>
      <c r="I16" s="116"/>
      <c r="J16" s="106"/>
      <c r="K16" s="107"/>
    </row>
    <row r="17" spans="2:11" s="102" customFormat="1" ht="42" customHeight="1">
      <c r="B17" s="38">
        <f t="shared" si="0"/>
        <v>11</v>
      </c>
      <c r="C17" s="116" t="s">
        <v>208</v>
      </c>
      <c r="D17" s="252" t="s">
        <v>209</v>
      </c>
      <c r="E17" s="252"/>
      <c r="F17" s="116" t="s">
        <v>210</v>
      </c>
      <c r="G17" s="116" t="s">
        <v>211</v>
      </c>
      <c r="H17" s="117" t="s">
        <v>186</v>
      </c>
      <c r="I17" s="116"/>
      <c r="J17" s="106"/>
      <c r="K17" s="107"/>
    </row>
    <row r="18" spans="2:11" s="102" customFormat="1" ht="42" customHeight="1">
      <c r="B18" s="38">
        <f t="shared" si="0"/>
        <v>12</v>
      </c>
      <c r="C18" s="116" t="s">
        <v>212</v>
      </c>
      <c r="D18" s="252" t="s">
        <v>213</v>
      </c>
      <c r="E18" s="252"/>
      <c r="F18" s="116" t="s">
        <v>214</v>
      </c>
      <c r="G18" s="116" t="s">
        <v>189</v>
      </c>
      <c r="H18" s="117" t="s">
        <v>186</v>
      </c>
      <c r="I18" s="116"/>
      <c r="J18" s="106"/>
      <c r="K18" s="107"/>
    </row>
    <row r="19" spans="2:11" s="102" customFormat="1" ht="42" customHeight="1">
      <c r="B19" s="38">
        <f t="shared" si="0"/>
        <v>13</v>
      </c>
      <c r="C19" s="116" t="s">
        <v>215</v>
      </c>
      <c r="D19" s="252" t="s">
        <v>216</v>
      </c>
      <c r="E19" s="252"/>
      <c r="F19" s="116" t="s">
        <v>217</v>
      </c>
      <c r="G19" s="116" t="s">
        <v>189</v>
      </c>
      <c r="H19" s="117" t="s">
        <v>186</v>
      </c>
      <c r="I19" s="116"/>
      <c r="J19" s="106"/>
      <c r="K19" s="107"/>
    </row>
    <row r="20" spans="2:11" s="102" customFormat="1" ht="42" customHeight="1">
      <c r="B20" s="38">
        <f t="shared" si="0"/>
        <v>14</v>
      </c>
      <c r="C20" s="116" t="s">
        <v>218</v>
      </c>
      <c r="D20" s="252" t="s">
        <v>219</v>
      </c>
      <c r="E20" s="252"/>
      <c r="F20" s="116" t="s">
        <v>220</v>
      </c>
      <c r="G20" s="116" t="s">
        <v>221</v>
      </c>
      <c r="H20" s="117" t="s">
        <v>186</v>
      </c>
      <c r="I20" s="116"/>
      <c r="J20" s="106"/>
      <c r="K20" s="107"/>
    </row>
    <row r="21" spans="2:11" s="119" customFormat="1" ht="42" customHeight="1">
      <c r="B21" s="120">
        <f t="shared" si="0"/>
        <v>15</v>
      </c>
      <c r="C21" s="118" t="s">
        <v>570</v>
      </c>
      <c r="D21" s="253"/>
      <c r="E21" s="253"/>
      <c r="F21" s="118" t="s">
        <v>569</v>
      </c>
      <c r="G21" s="118"/>
      <c r="H21" s="121" t="s">
        <v>571</v>
      </c>
      <c r="I21" s="118"/>
      <c r="J21" s="122"/>
      <c r="K21" s="123"/>
    </row>
    <row r="22" spans="2:11" ht="15.6">
      <c r="B22" s="124"/>
      <c r="C22" s="125"/>
      <c r="D22" s="125"/>
      <c r="E22" s="126"/>
      <c r="F22" s="126"/>
      <c r="G22" s="125"/>
      <c r="H22" s="125"/>
      <c r="I22" s="125"/>
      <c r="J22" s="127"/>
      <c r="K22" s="128"/>
    </row>
    <row r="23" spans="2:11" ht="15.6">
      <c r="B23" s="96" t="s">
        <v>222</v>
      </c>
      <c r="C23" s="125"/>
      <c r="D23" s="125"/>
      <c r="E23" s="126"/>
      <c r="F23" s="126"/>
      <c r="G23" s="125"/>
      <c r="H23" s="125"/>
      <c r="I23" s="125"/>
      <c r="J23" s="127"/>
      <c r="K23" s="128"/>
    </row>
    <row r="24" spans="2:11" ht="15" customHeight="1">
      <c r="B24" s="99" t="s">
        <v>34</v>
      </c>
      <c r="C24" s="99" t="s">
        <v>223</v>
      </c>
      <c r="D24" s="254" t="s">
        <v>224</v>
      </c>
      <c r="E24" s="254"/>
      <c r="F24" s="99" t="s">
        <v>225</v>
      </c>
      <c r="G24" s="99" t="s">
        <v>226</v>
      </c>
      <c r="H24" s="99" t="s">
        <v>38</v>
      </c>
      <c r="I24" s="125"/>
      <c r="J24" s="127"/>
      <c r="K24" s="128"/>
    </row>
    <row r="25" spans="2:11" s="102" customFormat="1" ht="13.5" customHeight="1">
      <c r="B25" s="129">
        <v>1</v>
      </c>
      <c r="C25" s="130" t="s">
        <v>86</v>
      </c>
      <c r="D25" s="251" t="s">
        <v>227</v>
      </c>
      <c r="E25" s="251"/>
      <c r="F25" s="131" t="s">
        <v>228</v>
      </c>
      <c r="G25" s="132" t="s">
        <v>229</v>
      </c>
      <c r="H25" s="131" t="s">
        <v>230</v>
      </c>
      <c r="I25" s="125"/>
      <c r="J25" s="106"/>
      <c r="K25" s="107"/>
    </row>
    <row r="26" spans="2:11" s="102" customFormat="1" ht="13.5" customHeight="1">
      <c r="B26" s="129">
        <v>2</v>
      </c>
      <c r="C26" s="130" t="s">
        <v>87</v>
      </c>
      <c r="D26" s="251" t="s">
        <v>231</v>
      </c>
      <c r="E26" s="251"/>
      <c r="F26" s="131" t="s">
        <v>232</v>
      </c>
      <c r="G26" s="132" t="s">
        <v>233</v>
      </c>
      <c r="H26" s="131" t="s">
        <v>230</v>
      </c>
      <c r="I26" s="125"/>
      <c r="J26" s="106"/>
      <c r="K26" s="107"/>
    </row>
    <row r="27" spans="2:11" s="102" customFormat="1" ht="13.5" customHeight="1">
      <c r="B27" s="129">
        <v>3</v>
      </c>
      <c r="C27" s="131" t="s">
        <v>163</v>
      </c>
      <c r="D27" s="251" t="s">
        <v>234</v>
      </c>
      <c r="E27" s="251"/>
      <c r="F27" s="131" t="s">
        <v>235</v>
      </c>
      <c r="G27" s="132" t="s">
        <v>236</v>
      </c>
      <c r="H27" s="131" t="s">
        <v>230</v>
      </c>
      <c r="I27" s="133"/>
      <c r="J27" s="106"/>
      <c r="K27" s="107"/>
    </row>
    <row r="28" spans="2:11" s="102" customFormat="1" ht="13.5" customHeight="1">
      <c r="B28" s="129">
        <v>4</v>
      </c>
      <c r="C28" s="131" t="s">
        <v>237</v>
      </c>
      <c r="D28" s="251" t="s">
        <v>234</v>
      </c>
      <c r="E28" s="251"/>
      <c r="F28" s="131" t="s">
        <v>238</v>
      </c>
      <c r="G28" s="132" t="s">
        <v>239</v>
      </c>
      <c r="H28" s="131" t="s">
        <v>230</v>
      </c>
      <c r="I28" s="133"/>
      <c r="J28" s="106"/>
      <c r="K28" s="107"/>
    </row>
    <row r="29" spans="2:11" s="102" customFormat="1" ht="13.5" customHeight="1">
      <c r="B29" s="129">
        <v>5</v>
      </c>
      <c r="C29" s="131" t="s">
        <v>240</v>
      </c>
      <c r="D29" s="251" t="s">
        <v>241</v>
      </c>
      <c r="E29" s="251"/>
      <c r="F29" s="131" t="s">
        <v>242</v>
      </c>
      <c r="G29" s="132" t="s">
        <v>243</v>
      </c>
      <c r="H29" s="131" t="s">
        <v>244</v>
      </c>
      <c r="I29" s="133"/>
      <c r="J29" s="106"/>
      <c r="K29" s="107"/>
    </row>
    <row r="30" spans="2:11" s="102" customFormat="1" ht="13.5" customHeight="1">
      <c r="B30" s="129">
        <v>6</v>
      </c>
      <c r="C30" s="131" t="s">
        <v>245</v>
      </c>
      <c r="D30" s="251"/>
      <c r="E30" s="251"/>
      <c r="F30" s="131"/>
      <c r="G30" s="132"/>
      <c r="H30" s="131"/>
      <c r="I30" s="133"/>
      <c r="J30" s="106"/>
      <c r="K30" s="107"/>
    </row>
    <row r="31" spans="2:11" s="102" customFormat="1" ht="13.5" customHeight="1">
      <c r="B31" s="129">
        <v>7</v>
      </c>
      <c r="C31" s="131"/>
      <c r="D31" s="251"/>
      <c r="E31" s="251"/>
      <c r="F31" s="131"/>
      <c r="G31" s="132"/>
      <c r="H31" s="131"/>
      <c r="I31" s="133"/>
      <c r="J31" s="106"/>
      <c r="K31" s="107"/>
    </row>
    <row r="32" spans="2:11" ht="15.6">
      <c r="B32" s="124"/>
      <c r="C32" s="125"/>
      <c r="D32" s="125"/>
      <c r="E32" s="126"/>
      <c r="F32" s="126"/>
      <c r="G32" s="125"/>
      <c r="H32" s="125"/>
      <c r="I32" s="125"/>
      <c r="J32" s="127"/>
      <c r="K32" s="128"/>
    </row>
    <row r="33" spans="2:10" ht="15.6">
      <c r="B33" s="96" t="s">
        <v>246</v>
      </c>
      <c r="C33" s="126"/>
      <c r="D33" s="126"/>
      <c r="E33" s="126"/>
      <c r="F33" s="126"/>
      <c r="G33" s="126"/>
      <c r="H33" s="126"/>
      <c r="I33" s="126"/>
      <c r="J33" s="126"/>
    </row>
    <row r="34" spans="2:10" ht="15.6">
      <c r="B34" s="96" t="s">
        <v>247</v>
      </c>
      <c r="C34" s="126"/>
      <c r="D34" s="126"/>
      <c r="E34" s="126"/>
      <c r="F34" s="126"/>
      <c r="G34" s="126"/>
      <c r="H34" s="126"/>
      <c r="I34" s="126"/>
      <c r="J34" s="126"/>
    </row>
    <row r="35" spans="2:10" ht="12.75" customHeight="1">
      <c r="B35" s="99" t="s">
        <v>34</v>
      </c>
      <c r="C35" s="99" t="s">
        <v>248</v>
      </c>
      <c r="D35" s="254" t="s">
        <v>75</v>
      </c>
      <c r="E35" s="254"/>
      <c r="F35" s="99" t="s">
        <v>249</v>
      </c>
      <c r="G35" s="99" t="s">
        <v>38</v>
      </c>
      <c r="H35" s="126"/>
      <c r="I35" s="126"/>
      <c r="J35" s="126"/>
    </row>
    <row r="36" spans="2:10" ht="15" customHeight="1">
      <c r="B36" s="38">
        <v>1</v>
      </c>
      <c r="C36" s="134" t="s">
        <v>250</v>
      </c>
      <c r="D36" s="251" t="s">
        <v>251</v>
      </c>
      <c r="E36" s="251"/>
      <c r="F36" s="134"/>
      <c r="G36" s="134"/>
      <c r="H36" s="126"/>
      <c r="I36" s="126"/>
      <c r="J36" s="126"/>
    </row>
    <row r="37" spans="2:10" ht="15" customHeight="1">
      <c r="B37" s="38">
        <v>2</v>
      </c>
      <c r="C37" s="134" t="s">
        <v>573</v>
      </c>
      <c r="D37" s="251" t="s">
        <v>574</v>
      </c>
      <c r="E37" s="251"/>
      <c r="G37" s="134"/>
      <c r="H37" s="126"/>
      <c r="I37" s="126"/>
      <c r="J37" s="126"/>
    </row>
    <row r="38" spans="2:10" ht="31.2">
      <c r="B38" s="38">
        <v>3</v>
      </c>
      <c r="C38" s="134" t="s">
        <v>577</v>
      </c>
      <c r="D38" s="251" t="s">
        <v>575</v>
      </c>
      <c r="E38" s="251"/>
      <c r="F38" s="134"/>
      <c r="G38" s="134" t="s">
        <v>576</v>
      </c>
      <c r="H38" s="126"/>
      <c r="I38" s="126"/>
      <c r="J38" s="126"/>
    </row>
    <row r="39" spans="2:10" ht="15" customHeight="1">
      <c r="B39" s="38">
        <v>4</v>
      </c>
      <c r="C39" s="134" t="s">
        <v>253</v>
      </c>
      <c r="D39" s="251" t="s">
        <v>254</v>
      </c>
      <c r="E39" s="251"/>
      <c r="G39" s="134" t="s">
        <v>252</v>
      </c>
      <c r="H39" s="126"/>
      <c r="I39" s="126"/>
      <c r="J39" s="126"/>
    </row>
    <row r="40" spans="2:10" ht="15.6">
      <c r="B40" s="38">
        <v>5</v>
      </c>
      <c r="C40" s="134"/>
      <c r="D40" s="251"/>
      <c r="E40" s="251"/>
      <c r="F40" s="134"/>
      <c r="G40" s="134"/>
      <c r="H40" s="126"/>
      <c r="I40" s="126"/>
      <c r="J40" s="126"/>
    </row>
    <row r="41" spans="2:10" ht="12.75" customHeight="1">
      <c r="B41" s="126"/>
      <c r="C41" s="126"/>
      <c r="D41" s="126"/>
      <c r="E41" s="126"/>
      <c r="F41" s="126"/>
      <c r="G41" s="126"/>
      <c r="H41" s="126"/>
      <c r="I41" s="126"/>
      <c r="J41" s="126"/>
    </row>
    <row r="42" spans="2:10" ht="15.6">
      <c r="B42" s="191" t="s">
        <v>255</v>
      </c>
      <c r="C42" s="192"/>
      <c r="D42" s="192"/>
      <c r="E42" s="192"/>
      <c r="F42" s="192"/>
      <c r="G42" s="192"/>
      <c r="H42" s="126"/>
      <c r="I42" s="126"/>
      <c r="J42" s="126"/>
    </row>
    <row r="43" spans="2:10" ht="15" customHeight="1">
      <c r="B43" s="101" t="s">
        <v>34</v>
      </c>
      <c r="C43" s="101" t="s">
        <v>256</v>
      </c>
      <c r="D43" s="255" t="s">
        <v>75</v>
      </c>
      <c r="E43" s="255"/>
      <c r="F43" s="101" t="s">
        <v>249</v>
      </c>
      <c r="G43" s="101" t="s">
        <v>38</v>
      </c>
      <c r="H43" s="126"/>
      <c r="I43" s="126"/>
      <c r="J43" s="126"/>
    </row>
    <row r="44" spans="2:10" ht="18" customHeight="1">
      <c r="B44" s="120">
        <v>1</v>
      </c>
      <c r="C44" s="137" t="s">
        <v>257</v>
      </c>
      <c r="D44" s="253" t="s">
        <v>258</v>
      </c>
      <c r="E44" s="253"/>
      <c r="F44" s="137"/>
      <c r="G44" s="193"/>
      <c r="H44" s="126"/>
      <c r="I44" s="126"/>
      <c r="J44" s="126"/>
    </row>
    <row r="45" spans="2:10" ht="18" customHeight="1">
      <c r="B45" s="120">
        <v>2</v>
      </c>
      <c r="C45" s="137" t="s">
        <v>259</v>
      </c>
      <c r="D45" s="253" t="s">
        <v>578</v>
      </c>
      <c r="E45" s="253"/>
      <c r="F45" s="137"/>
      <c r="G45" s="193"/>
      <c r="H45" s="126"/>
      <c r="I45" s="126"/>
      <c r="J45" s="126"/>
    </row>
    <row r="46" spans="2:10" ht="18" customHeight="1">
      <c r="B46" s="120">
        <v>3</v>
      </c>
      <c r="C46" s="137" t="s">
        <v>260</v>
      </c>
      <c r="D46" s="253" t="s">
        <v>261</v>
      </c>
      <c r="E46" s="253"/>
      <c r="F46" s="137"/>
      <c r="G46" s="193"/>
      <c r="H46" s="126"/>
      <c r="I46" s="126"/>
      <c r="J46" s="126"/>
    </row>
    <row r="47" spans="2:10" ht="27.75" customHeight="1">
      <c r="B47" s="120">
        <v>4</v>
      </c>
      <c r="C47" s="137" t="s">
        <v>262</v>
      </c>
      <c r="D47" s="253" t="s">
        <v>263</v>
      </c>
      <c r="E47" s="253"/>
      <c r="F47" s="137"/>
      <c r="G47" s="193"/>
      <c r="H47" s="126"/>
      <c r="I47" s="126"/>
      <c r="J47" s="126"/>
    </row>
    <row r="48" spans="2:10" ht="27.75" customHeight="1">
      <c r="B48" s="120">
        <v>5</v>
      </c>
      <c r="C48" s="137" t="s">
        <v>264</v>
      </c>
      <c r="D48" s="253" t="s">
        <v>265</v>
      </c>
      <c r="E48" s="253"/>
      <c r="F48" s="137"/>
      <c r="G48" s="193"/>
      <c r="H48" s="126"/>
      <c r="I48" s="126"/>
      <c r="J48" s="126"/>
    </row>
    <row r="49" spans="2:10" ht="27.75" customHeight="1">
      <c r="B49" s="120">
        <v>6</v>
      </c>
      <c r="C49" s="137" t="s">
        <v>266</v>
      </c>
      <c r="D49" s="253" t="s">
        <v>267</v>
      </c>
      <c r="E49" s="253"/>
      <c r="F49" s="137"/>
      <c r="G49" s="193"/>
      <c r="H49" s="126"/>
      <c r="I49" s="126"/>
      <c r="J49" s="126"/>
    </row>
    <row r="50" spans="2:10" ht="15.6">
      <c r="B50" s="120">
        <v>7</v>
      </c>
      <c r="C50" s="137"/>
      <c r="D50" s="256"/>
      <c r="E50" s="256"/>
      <c r="F50" s="137"/>
      <c r="G50" s="193"/>
      <c r="H50" s="126"/>
      <c r="I50" s="126"/>
      <c r="J50" s="126"/>
    </row>
    <row r="51" spans="2:10" ht="15.6">
      <c r="B51" s="120">
        <v>8</v>
      </c>
      <c r="C51" s="137"/>
      <c r="D51" s="256"/>
      <c r="E51" s="256"/>
      <c r="F51" s="137"/>
      <c r="G51" s="193"/>
      <c r="H51" s="126"/>
      <c r="I51" s="126"/>
      <c r="J51" s="126"/>
    </row>
    <row r="52" spans="2:10" ht="15.6">
      <c r="B52" s="120">
        <v>9</v>
      </c>
      <c r="C52" s="137"/>
      <c r="D52" s="256"/>
      <c r="E52" s="256"/>
      <c r="F52" s="137"/>
      <c r="G52" s="193"/>
      <c r="H52" s="126"/>
      <c r="I52" s="126"/>
      <c r="J52" s="126"/>
    </row>
    <row r="53" spans="2:10" ht="15.6">
      <c r="B53" s="120">
        <v>10</v>
      </c>
      <c r="C53" s="137"/>
      <c r="D53" s="256"/>
      <c r="E53" s="256"/>
      <c r="F53" s="137"/>
      <c r="G53" s="193"/>
      <c r="H53" s="126"/>
      <c r="I53" s="126"/>
      <c r="J53" s="126"/>
    </row>
    <row r="54" spans="2:10" ht="12.75" customHeight="1">
      <c r="B54" s="192"/>
      <c r="C54" s="192"/>
      <c r="D54" s="192"/>
      <c r="E54" s="192"/>
      <c r="F54" s="192"/>
      <c r="G54" s="192"/>
      <c r="H54" s="126"/>
      <c r="I54" s="126"/>
      <c r="J54" s="126"/>
    </row>
    <row r="55" spans="2:10" ht="15.6">
      <c r="B55" s="191" t="s">
        <v>268</v>
      </c>
      <c r="C55" s="192"/>
      <c r="D55" s="192"/>
      <c r="E55" s="192"/>
      <c r="F55" s="192"/>
      <c r="G55" s="192"/>
      <c r="H55" s="126"/>
      <c r="I55" s="126"/>
      <c r="J55" s="126"/>
    </row>
    <row r="56" spans="2:10" ht="15" customHeight="1">
      <c r="B56" s="101" t="s">
        <v>34</v>
      </c>
      <c r="C56" s="101" t="s">
        <v>256</v>
      </c>
      <c r="D56" s="255" t="s">
        <v>75</v>
      </c>
      <c r="E56" s="255"/>
      <c r="F56" s="101" t="s">
        <v>249</v>
      </c>
      <c r="G56" s="101" t="s">
        <v>38</v>
      </c>
      <c r="H56" s="126"/>
      <c r="I56" s="126"/>
      <c r="J56" s="126"/>
    </row>
    <row r="57" spans="2:10" ht="15" customHeight="1">
      <c r="B57" s="120">
        <v>1</v>
      </c>
      <c r="C57" s="137" t="s">
        <v>269</v>
      </c>
      <c r="D57" s="253" t="s">
        <v>270</v>
      </c>
      <c r="E57" s="253"/>
      <c r="F57" s="137"/>
      <c r="G57" s="193"/>
      <c r="H57" s="126"/>
      <c r="I57" s="126"/>
      <c r="J57" s="126"/>
    </row>
    <row r="58" spans="2:10" ht="15" customHeight="1">
      <c r="B58" s="120">
        <v>2</v>
      </c>
      <c r="C58" s="137" t="s">
        <v>271</v>
      </c>
      <c r="D58" s="253" t="s">
        <v>272</v>
      </c>
      <c r="E58" s="253"/>
      <c r="F58" s="137"/>
      <c r="G58" s="193"/>
      <c r="H58" s="126"/>
      <c r="I58" s="126"/>
      <c r="J58" s="126"/>
    </row>
    <row r="59" spans="2:10" ht="26.25" customHeight="1">
      <c r="B59" s="120">
        <v>3</v>
      </c>
      <c r="C59" s="137" t="s">
        <v>273</v>
      </c>
      <c r="D59" s="253" t="s">
        <v>274</v>
      </c>
      <c r="E59" s="253"/>
      <c r="F59" s="137"/>
      <c r="G59" s="193"/>
      <c r="H59" s="126"/>
      <c r="I59" s="126"/>
      <c r="J59" s="126"/>
    </row>
    <row r="60" spans="2:10" ht="26.25" customHeight="1">
      <c r="B60" s="120">
        <v>4</v>
      </c>
      <c r="C60" s="137" t="s">
        <v>275</v>
      </c>
      <c r="D60" s="253" t="s">
        <v>276</v>
      </c>
      <c r="E60" s="253"/>
      <c r="F60" s="137"/>
      <c r="G60" s="193"/>
      <c r="H60" s="126"/>
      <c r="I60" s="126"/>
      <c r="J60" s="126"/>
    </row>
    <row r="61" spans="2:10" ht="15" customHeight="1">
      <c r="B61" s="120">
        <v>5</v>
      </c>
      <c r="C61" s="137" t="s">
        <v>277</v>
      </c>
      <c r="D61" s="253" t="s">
        <v>278</v>
      </c>
      <c r="E61" s="253"/>
      <c r="F61" s="137"/>
      <c r="G61" s="193"/>
      <c r="H61" s="126"/>
      <c r="I61" s="126"/>
      <c r="J61" s="126"/>
    </row>
    <row r="62" spans="2:10" ht="20.25" customHeight="1">
      <c r="B62" s="120">
        <v>6</v>
      </c>
      <c r="C62" s="137" t="s">
        <v>279</v>
      </c>
      <c r="D62" s="253" t="s">
        <v>280</v>
      </c>
      <c r="E62" s="253"/>
      <c r="F62" s="137"/>
      <c r="G62" s="193"/>
      <c r="H62" s="126"/>
      <c r="I62" s="126"/>
      <c r="J62" s="126"/>
    </row>
    <row r="63" spans="2:10" ht="12.75" customHeight="1">
      <c r="B63" s="192"/>
      <c r="C63" s="192"/>
      <c r="D63" s="192"/>
      <c r="E63" s="192"/>
      <c r="F63" s="192"/>
      <c r="G63" s="192"/>
      <c r="H63" s="126"/>
      <c r="I63" s="126"/>
      <c r="J63" s="126"/>
    </row>
    <row r="64" spans="2:10" ht="15.6">
      <c r="B64" s="191" t="s">
        <v>281</v>
      </c>
      <c r="C64" s="192"/>
      <c r="D64" s="192"/>
      <c r="E64" s="192"/>
      <c r="F64" s="192"/>
      <c r="G64" s="192"/>
      <c r="H64" s="126"/>
      <c r="I64" s="126"/>
      <c r="J64" s="126"/>
    </row>
    <row r="65" spans="2:10" ht="15" customHeight="1">
      <c r="B65" s="101" t="s">
        <v>34</v>
      </c>
      <c r="C65" s="101" t="s">
        <v>256</v>
      </c>
      <c r="D65" s="255" t="s">
        <v>75</v>
      </c>
      <c r="E65" s="255"/>
      <c r="F65" s="101" t="s">
        <v>249</v>
      </c>
      <c r="G65" s="101" t="s">
        <v>38</v>
      </c>
      <c r="H65" s="126"/>
      <c r="I65" s="126"/>
      <c r="J65" s="126"/>
    </row>
    <row r="66" spans="2:10" ht="55.5" customHeight="1">
      <c r="B66" s="120">
        <v>1</v>
      </c>
      <c r="C66" s="137" t="s">
        <v>282</v>
      </c>
      <c r="D66" s="253" t="s">
        <v>283</v>
      </c>
      <c r="E66" s="253"/>
      <c r="F66" s="137"/>
      <c r="G66" s="193"/>
      <c r="H66" s="126"/>
      <c r="I66" s="126"/>
      <c r="J66" s="126"/>
    </row>
    <row r="67" spans="2:10" ht="26.25" customHeight="1">
      <c r="B67" s="120">
        <v>2</v>
      </c>
      <c r="C67" s="137" t="s">
        <v>284</v>
      </c>
      <c r="D67" s="253" t="s">
        <v>285</v>
      </c>
      <c r="E67" s="253"/>
      <c r="F67" s="137"/>
      <c r="G67" s="193"/>
      <c r="H67" s="126"/>
      <c r="I67" s="126"/>
      <c r="J67" s="126"/>
    </row>
    <row r="68" spans="2:10" ht="26.25" customHeight="1">
      <c r="B68" s="120">
        <v>3</v>
      </c>
      <c r="C68" s="137" t="s">
        <v>286</v>
      </c>
      <c r="D68" s="253" t="s">
        <v>287</v>
      </c>
      <c r="E68" s="253"/>
      <c r="F68" s="137"/>
      <c r="G68" s="193"/>
      <c r="H68" s="126"/>
      <c r="I68" s="126"/>
      <c r="J68" s="126"/>
    </row>
    <row r="69" spans="2:10" ht="26.25" customHeight="1">
      <c r="B69" s="120">
        <v>4</v>
      </c>
      <c r="C69" s="137" t="s">
        <v>288</v>
      </c>
      <c r="D69" s="253" t="s">
        <v>289</v>
      </c>
      <c r="E69" s="253"/>
      <c r="F69" s="137"/>
      <c r="G69" s="193"/>
      <c r="H69" s="126"/>
      <c r="I69" s="126"/>
      <c r="J69" s="126"/>
    </row>
    <row r="70" spans="2:10" ht="43.5" customHeight="1">
      <c r="B70" s="120">
        <v>5</v>
      </c>
      <c r="C70" s="137" t="s">
        <v>290</v>
      </c>
      <c r="D70" s="253" t="s">
        <v>291</v>
      </c>
      <c r="E70" s="253"/>
      <c r="F70" s="137"/>
      <c r="G70" s="193"/>
      <c r="H70" s="126"/>
      <c r="I70" s="126"/>
      <c r="J70" s="126"/>
    </row>
    <row r="71" spans="2:10" ht="26.25" customHeight="1">
      <c r="B71" s="120">
        <v>6</v>
      </c>
      <c r="C71" s="137" t="s">
        <v>292</v>
      </c>
      <c r="D71" s="253" t="s">
        <v>293</v>
      </c>
      <c r="E71" s="253"/>
      <c r="F71" s="137"/>
      <c r="G71" s="193"/>
      <c r="H71" s="126"/>
      <c r="I71" s="126"/>
      <c r="J71" s="126"/>
    </row>
    <row r="72" spans="2:10" ht="12.75" customHeight="1">
      <c r="B72" s="192"/>
      <c r="C72" s="192"/>
      <c r="D72" s="192"/>
      <c r="E72" s="192"/>
      <c r="F72" s="192"/>
      <c r="G72" s="192"/>
      <c r="H72" s="126"/>
      <c r="I72" s="126"/>
      <c r="J72" s="126"/>
    </row>
    <row r="73" spans="2:10" ht="15.6">
      <c r="B73" s="192" t="s">
        <v>294</v>
      </c>
      <c r="C73" s="192"/>
      <c r="D73" s="192"/>
      <c r="E73" s="192"/>
      <c r="F73" s="192"/>
      <c r="G73" s="192"/>
      <c r="H73" s="126"/>
      <c r="I73" s="126"/>
      <c r="J73" s="126"/>
    </row>
    <row r="74" spans="2:10" ht="15.6">
      <c r="B74" s="192" t="s">
        <v>295</v>
      </c>
      <c r="C74" s="192"/>
      <c r="D74" s="192"/>
      <c r="E74" s="192"/>
      <c r="F74" s="192"/>
      <c r="G74" s="192"/>
      <c r="H74" s="126"/>
      <c r="I74" s="126"/>
      <c r="J74" s="126"/>
    </row>
    <row r="75" spans="2:10" ht="15" customHeight="1">
      <c r="B75" s="101" t="s">
        <v>34</v>
      </c>
      <c r="C75" s="101" t="s">
        <v>296</v>
      </c>
      <c r="D75" s="255" t="s">
        <v>75</v>
      </c>
      <c r="E75" s="255"/>
      <c r="F75" s="101" t="s">
        <v>297</v>
      </c>
      <c r="G75" s="101" t="s">
        <v>183</v>
      </c>
      <c r="H75" s="99" t="s">
        <v>36</v>
      </c>
      <c r="I75" s="126"/>
      <c r="J75" s="126"/>
    </row>
    <row r="76" spans="2:10" ht="27.75" customHeight="1">
      <c r="B76" s="120">
        <v>1</v>
      </c>
      <c r="C76" s="137" t="s">
        <v>95</v>
      </c>
      <c r="D76" s="253" t="s">
        <v>298</v>
      </c>
      <c r="E76" s="253"/>
      <c r="F76" s="118" t="s">
        <v>299</v>
      </c>
      <c r="G76" s="118" t="s">
        <v>300</v>
      </c>
      <c r="H76" s="135" t="s">
        <v>301</v>
      </c>
      <c r="I76" s="126"/>
      <c r="J76" s="126"/>
    </row>
    <row r="77" spans="2:10" ht="27.75" customHeight="1">
      <c r="B77" s="120">
        <v>2</v>
      </c>
      <c r="C77" s="137" t="s">
        <v>302</v>
      </c>
      <c r="D77" s="253" t="s">
        <v>303</v>
      </c>
      <c r="E77" s="253"/>
      <c r="F77" s="194" t="s">
        <v>304</v>
      </c>
      <c r="G77" s="194" t="s">
        <v>305</v>
      </c>
      <c r="H77" s="135" t="s">
        <v>306</v>
      </c>
      <c r="I77" s="126"/>
      <c r="J77" s="126"/>
    </row>
    <row r="78" spans="2:10" ht="27.75" customHeight="1">
      <c r="B78" s="120">
        <v>3</v>
      </c>
      <c r="C78" s="137" t="s">
        <v>97</v>
      </c>
      <c r="D78" s="253" t="s">
        <v>307</v>
      </c>
      <c r="E78" s="253"/>
      <c r="F78" s="194" t="s">
        <v>308</v>
      </c>
      <c r="G78" s="194" t="s">
        <v>309</v>
      </c>
      <c r="H78" s="135" t="s">
        <v>310</v>
      </c>
      <c r="I78" s="126"/>
      <c r="J78" s="126"/>
    </row>
    <row r="79" spans="2:10" ht="27.75" customHeight="1">
      <c r="B79" s="120">
        <v>4</v>
      </c>
      <c r="C79" s="137" t="s">
        <v>98</v>
      </c>
      <c r="D79" s="253" t="s">
        <v>311</v>
      </c>
      <c r="E79" s="253"/>
      <c r="F79" s="194" t="s">
        <v>312</v>
      </c>
      <c r="G79" s="194" t="s">
        <v>313</v>
      </c>
      <c r="H79" s="134" t="s">
        <v>314</v>
      </c>
      <c r="I79" s="126"/>
      <c r="J79" s="126"/>
    </row>
    <row r="80" spans="2:10" ht="12.75" customHeight="1">
      <c r="B80" s="192"/>
      <c r="C80" s="192"/>
      <c r="D80" s="192"/>
      <c r="E80" s="192"/>
      <c r="F80" s="192"/>
      <c r="G80" s="192"/>
      <c r="H80" s="126"/>
      <c r="I80" s="126"/>
      <c r="J80" s="126"/>
    </row>
    <row r="81" spans="2:10" ht="15.6">
      <c r="B81" s="192" t="s">
        <v>315</v>
      </c>
      <c r="C81" s="192"/>
      <c r="D81" s="192"/>
      <c r="E81" s="192"/>
      <c r="F81" s="192"/>
      <c r="G81" s="192"/>
      <c r="H81" s="126"/>
      <c r="I81" s="126"/>
      <c r="J81" s="126"/>
    </row>
    <row r="82" spans="2:10" ht="15.6">
      <c r="B82" s="101" t="s">
        <v>34</v>
      </c>
      <c r="C82" s="101" t="s">
        <v>296</v>
      </c>
      <c r="D82" s="101" t="s">
        <v>316</v>
      </c>
      <c r="E82" s="101" t="s">
        <v>317</v>
      </c>
      <c r="F82" s="101" t="s">
        <v>75</v>
      </c>
      <c r="G82" s="101" t="s">
        <v>318</v>
      </c>
      <c r="H82" s="126"/>
      <c r="I82" s="126"/>
      <c r="J82" s="126"/>
    </row>
    <row r="83" spans="2:10" ht="15.6">
      <c r="B83" s="195">
        <v>1</v>
      </c>
      <c r="C83" s="136" t="s">
        <v>95</v>
      </c>
      <c r="D83" s="136" t="s">
        <v>319</v>
      </c>
      <c r="E83" s="136" t="s">
        <v>320</v>
      </c>
      <c r="F83" s="136" t="s">
        <v>321</v>
      </c>
      <c r="G83" s="136"/>
      <c r="H83" s="126"/>
      <c r="I83" s="126"/>
      <c r="J83" s="126"/>
    </row>
    <row r="84" spans="2:10" ht="15.6">
      <c r="B84" s="195">
        <v>2</v>
      </c>
      <c r="C84" s="136"/>
      <c r="D84" s="136"/>
      <c r="E84" s="136" t="s">
        <v>322</v>
      </c>
      <c r="F84" s="136" t="s">
        <v>323</v>
      </c>
      <c r="G84" s="136"/>
      <c r="H84" s="126"/>
      <c r="I84" s="126"/>
      <c r="J84" s="126"/>
    </row>
    <row r="85" spans="2:10" ht="15.6">
      <c r="B85" s="195">
        <v>3</v>
      </c>
      <c r="C85" s="136"/>
      <c r="D85" s="136"/>
      <c r="E85" s="136" t="s">
        <v>324</v>
      </c>
      <c r="F85" s="136" t="s">
        <v>325</v>
      </c>
      <c r="G85" s="136"/>
      <c r="H85" s="126"/>
      <c r="I85" s="126"/>
      <c r="J85" s="126"/>
    </row>
    <row r="86" spans="2:10" ht="15.6">
      <c r="B86" s="195">
        <v>4</v>
      </c>
      <c r="C86" s="136"/>
      <c r="D86" s="136" t="s">
        <v>326</v>
      </c>
      <c r="E86" s="136" t="s">
        <v>320</v>
      </c>
      <c r="F86" s="136" t="s">
        <v>327</v>
      </c>
      <c r="G86" s="136"/>
      <c r="H86" s="126"/>
      <c r="I86" s="126"/>
      <c r="J86" s="126"/>
    </row>
    <row r="87" spans="2:10" ht="15.6">
      <c r="B87" s="195">
        <v>5</v>
      </c>
      <c r="C87" s="136"/>
      <c r="D87" s="136" t="s">
        <v>328</v>
      </c>
      <c r="E87" s="136" t="s">
        <v>329</v>
      </c>
      <c r="F87" s="136" t="s">
        <v>330</v>
      </c>
      <c r="G87" s="136"/>
      <c r="H87" s="126"/>
      <c r="I87" s="126"/>
      <c r="J87" s="126"/>
    </row>
    <row r="88" spans="2:10" ht="31.2">
      <c r="B88" s="195">
        <v>6</v>
      </c>
      <c r="C88" s="136"/>
      <c r="D88" s="136" t="s">
        <v>331</v>
      </c>
      <c r="E88" s="136" t="s">
        <v>27</v>
      </c>
      <c r="F88" s="136" t="s">
        <v>332</v>
      </c>
      <c r="G88" s="136"/>
      <c r="H88" s="126"/>
      <c r="I88" s="126"/>
      <c r="J88" s="126"/>
    </row>
    <row r="89" spans="2:10" ht="15.6">
      <c r="B89" s="195">
        <v>7</v>
      </c>
      <c r="C89" s="136" t="s">
        <v>302</v>
      </c>
      <c r="D89" s="136" t="s">
        <v>319</v>
      </c>
      <c r="E89" s="136" t="s">
        <v>320</v>
      </c>
      <c r="F89" s="136" t="s">
        <v>321</v>
      </c>
      <c r="G89" s="136"/>
      <c r="H89" s="126"/>
      <c r="I89" s="126"/>
      <c r="J89" s="126"/>
    </row>
    <row r="90" spans="2:10" ht="15.6">
      <c r="B90" s="195">
        <v>8</v>
      </c>
      <c r="C90" s="136"/>
      <c r="D90" s="136"/>
      <c r="E90" s="136" t="s">
        <v>322</v>
      </c>
      <c r="F90" s="136" t="s">
        <v>323</v>
      </c>
      <c r="G90" s="136"/>
      <c r="H90" s="126"/>
      <c r="I90" s="126"/>
      <c r="J90" s="126"/>
    </row>
    <row r="91" spans="2:10" ht="15.6">
      <c r="B91" s="195">
        <v>9</v>
      </c>
      <c r="C91" s="136"/>
      <c r="D91" s="136"/>
      <c r="E91" s="136" t="s">
        <v>324</v>
      </c>
      <c r="F91" s="136" t="s">
        <v>325</v>
      </c>
      <c r="G91" s="136"/>
      <c r="H91" s="126"/>
      <c r="I91" s="126"/>
      <c r="J91" s="126"/>
    </row>
    <row r="92" spans="2:10" ht="15.6">
      <c r="B92" s="195">
        <v>10</v>
      </c>
      <c r="C92" s="136"/>
      <c r="D92" s="136" t="s">
        <v>326</v>
      </c>
      <c r="E92" s="136" t="s">
        <v>320</v>
      </c>
      <c r="F92" s="136" t="s">
        <v>327</v>
      </c>
      <c r="G92" s="136"/>
      <c r="H92" s="126"/>
      <c r="I92" s="126"/>
      <c r="J92" s="126"/>
    </row>
    <row r="93" spans="2:10" ht="15.6">
      <c r="B93" s="195">
        <v>11</v>
      </c>
      <c r="C93" s="136"/>
      <c r="D93" s="136" t="s">
        <v>328</v>
      </c>
      <c r="E93" s="136" t="s">
        <v>329</v>
      </c>
      <c r="F93" s="136" t="s">
        <v>330</v>
      </c>
      <c r="G93" s="136"/>
      <c r="H93" s="126"/>
      <c r="I93" s="126"/>
      <c r="J93" s="126"/>
    </row>
    <row r="94" spans="2:10" ht="31.2">
      <c r="B94" s="195">
        <v>12</v>
      </c>
      <c r="C94" s="136"/>
      <c r="D94" s="136" t="s">
        <v>331</v>
      </c>
      <c r="E94" s="136" t="s">
        <v>27</v>
      </c>
      <c r="F94" s="136" t="s">
        <v>332</v>
      </c>
      <c r="G94" s="136"/>
      <c r="H94" s="126"/>
      <c r="I94" s="126"/>
      <c r="J94" s="126"/>
    </row>
    <row r="95" spans="2:10" ht="15.6">
      <c r="B95" s="195">
        <v>13</v>
      </c>
      <c r="C95" s="136" t="s">
        <v>97</v>
      </c>
      <c r="D95" s="136" t="s">
        <v>319</v>
      </c>
      <c r="E95" s="136" t="s">
        <v>320</v>
      </c>
      <c r="F95" s="136" t="s">
        <v>321</v>
      </c>
      <c r="G95" s="136"/>
      <c r="H95" s="126"/>
      <c r="I95" s="126"/>
      <c r="J95" s="126"/>
    </row>
    <row r="96" spans="2:10" ht="15.6">
      <c r="B96" s="195">
        <v>14</v>
      </c>
      <c r="C96" s="137"/>
      <c r="D96" s="136"/>
      <c r="E96" s="136" t="s">
        <v>322</v>
      </c>
      <c r="F96" s="136" t="s">
        <v>323</v>
      </c>
      <c r="G96" s="136"/>
      <c r="H96" s="126"/>
      <c r="I96" s="126"/>
      <c r="J96" s="126"/>
    </row>
    <row r="97" spans="2:10" ht="15.6">
      <c r="B97" s="195">
        <v>15</v>
      </c>
      <c r="C97" s="137"/>
      <c r="D97" s="136"/>
      <c r="E97" s="136" t="s">
        <v>324</v>
      </c>
      <c r="F97" s="136" t="s">
        <v>325</v>
      </c>
      <c r="G97" s="136"/>
      <c r="H97" s="126"/>
      <c r="I97" s="126"/>
      <c r="J97" s="126"/>
    </row>
    <row r="98" spans="2:10" ht="15.6">
      <c r="B98" s="195">
        <v>16</v>
      </c>
      <c r="C98" s="137"/>
      <c r="D98" s="136" t="s">
        <v>326</v>
      </c>
      <c r="E98" s="136" t="s">
        <v>320</v>
      </c>
      <c r="F98" s="136" t="s">
        <v>327</v>
      </c>
      <c r="G98" s="136"/>
      <c r="H98" s="126"/>
      <c r="I98" s="126"/>
      <c r="J98" s="126"/>
    </row>
    <row r="99" spans="2:10" ht="15.6">
      <c r="B99" s="195">
        <v>17</v>
      </c>
      <c r="C99" s="137"/>
      <c r="D99" s="136" t="s">
        <v>328</v>
      </c>
      <c r="E99" s="136" t="s">
        <v>329</v>
      </c>
      <c r="F99" s="136" t="s">
        <v>330</v>
      </c>
      <c r="G99" s="136"/>
      <c r="H99" s="126"/>
      <c r="I99" s="126"/>
      <c r="J99" s="126"/>
    </row>
    <row r="100" spans="2:10" ht="31.2">
      <c r="B100" s="195">
        <v>18</v>
      </c>
      <c r="C100" s="137"/>
      <c r="D100" s="136" t="s">
        <v>331</v>
      </c>
      <c r="E100" s="136" t="s">
        <v>27</v>
      </c>
      <c r="F100" s="136" t="s">
        <v>332</v>
      </c>
      <c r="G100" s="136"/>
      <c r="H100" s="126"/>
      <c r="I100" s="126"/>
      <c r="J100" s="126"/>
    </row>
    <row r="101" spans="2:10" ht="15.6">
      <c r="B101" s="195">
        <v>19</v>
      </c>
      <c r="C101" s="136" t="s">
        <v>98</v>
      </c>
      <c r="D101" s="136" t="s">
        <v>319</v>
      </c>
      <c r="E101" s="136" t="s">
        <v>320</v>
      </c>
      <c r="F101" s="136" t="s">
        <v>321</v>
      </c>
      <c r="G101" s="136"/>
      <c r="H101" s="126"/>
      <c r="I101" s="126"/>
      <c r="J101" s="126"/>
    </row>
    <row r="102" spans="2:10" ht="15.6">
      <c r="B102" s="195">
        <v>20</v>
      </c>
      <c r="C102" s="137"/>
      <c r="D102" s="136"/>
      <c r="E102" s="136" t="s">
        <v>322</v>
      </c>
      <c r="F102" s="136" t="s">
        <v>323</v>
      </c>
      <c r="G102" s="136"/>
      <c r="H102" s="126"/>
      <c r="I102" s="126"/>
      <c r="J102" s="126"/>
    </row>
    <row r="103" spans="2:10" ht="15.6">
      <c r="B103" s="195">
        <v>21</v>
      </c>
      <c r="C103" s="137"/>
      <c r="D103" s="136"/>
      <c r="E103" s="136" t="s">
        <v>324</v>
      </c>
      <c r="F103" s="136" t="s">
        <v>325</v>
      </c>
      <c r="G103" s="136"/>
      <c r="H103" s="126"/>
      <c r="I103" s="126"/>
      <c r="J103" s="126"/>
    </row>
    <row r="104" spans="2:10" ht="15.6">
      <c r="B104" s="195">
        <v>22</v>
      </c>
      <c r="C104" s="137"/>
      <c r="D104" s="136" t="s">
        <v>326</v>
      </c>
      <c r="E104" s="136" t="s">
        <v>320</v>
      </c>
      <c r="F104" s="136" t="s">
        <v>327</v>
      </c>
      <c r="G104" s="136"/>
      <c r="H104" s="126"/>
      <c r="I104" s="126"/>
      <c r="J104" s="126"/>
    </row>
    <row r="105" spans="2:10" ht="15.6">
      <c r="B105" s="195">
        <v>23</v>
      </c>
      <c r="C105" s="137"/>
      <c r="D105" s="136" t="s">
        <v>328</v>
      </c>
      <c r="E105" s="136" t="s">
        <v>329</v>
      </c>
      <c r="F105" s="136" t="s">
        <v>330</v>
      </c>
      <c r="G105" s="136"/>
      <c r="H105" s="126"/>
      <c r="I105" s="126"/>
      <c r="J105" s="126"/>
    </row>
    <row r="106" spans="2:10" ht="31.2">
      <c r="B106" s="195">
        <v>24</v>
      </c>
      <c r="C106" s="137"/>
      <c r="D106" s="136" t="s">
        <v>331</v>
      </c>
      <c r="E106" s="136" t="s">
        <v>27</v>
      </c>
      <c r="F106" s="136" t="s">
        <v>332</v>
      </c>
      <c r="G106" s="136"/>
      <c r="H106" s="126"/>
      <c r="I106" s="126"/>
      <c r="J106" s="126"/>
    </row>
    <row r="107" spans="2:10" ht="12.75" customHeight="1">
      <c r="B107" s="126"/>
      <c r="C107" s="126"/>
      <c r="D107" s="126"/>
      <c r="E107" s="126"/>
      <c r="F107" s="126"/>
      <c r="G107" s="126"/>
      <c r="H107" s="126"/>
      <c r="I107" s="126"/>
      <c r="J107" s="126"/>
    </row>
    <row r="108" spans="2:10" ht="15.6">
      <c r="B108" s="126" t="s">
        <v>333</v>
      </c>
      <c r="C108" s="126"/>
      <c r="D108" s="126"/>
      <c r="E108" s="126"/>
      <c r="F108" s="126"/>
      <c r="G108" s="126"/>
      <c r="H108" s="126"/>
      <c r="I108" s="126"/>
      <c r="J108" s="126"/>
    </row>
    <row r="109" spans="2:10" ht="15" customHeight="1">
      <c r="B109" s="99" t="s">
        <v>34</v>
      </c>
      <c r="C109" s="99" t="s">
        <v>316</v>
      </c>
      <c r="D109" s="254" t="s">
        <v>75</v>
      </c>
      <c r="E109" s="254"/>
      <c r="F109" s="99" t="s">
        <v>334</v>
      </c>
      <c r="G109" s="99" t="s">
        <v>38</v>
      </c>
      <c r="H109" s="126"/>
      <c r="I109" s="126"/>
      <c r="J109" s="126"/>
    </row>
    <row r="110" spans="2:10" ht="39" customHeight="1">
      <c r="B110" s="129">
        <v>1</v>
      </c>
      <c r="C110" s="118" t="s">
        <v>335</v>
      </c>
      <c r="D110" s="253" t="s">
        <v>336</v>
      </c>
      <c r="E110" s="253"/>
      <c r="F110" s="118" t="s">
        <v>337</v>
      </c>
      <c r="G110" s="118" t="s">
        <v>338</v>
      </c>
      <c r="H110" s="126"/>
      <c r="I110" s="126"/>
      <c r="J110" s="126"/>
    </row>
    <row r="111" spans="2:10" ht="39" customHeight="1">
      <c r="B111" s="129">
        <v>2</v>
      </c>
      <c r="C111" s="118" t="s">
        <v>339</v>
      </c>
      <c r="D111" s="253" t="s">
        <v>340</v>
      </c>
      <c r="E111" s="253"/>
      <c r="F111" s="118" t="s">
        <v>341</v>
      </c>
      <c r="G111" s="118" t="s">
        <v>342</v>
      </c>
      <c r="H111" s="126"/>
      <c r="I111" s="126"/>
      <c r="J111" s="126"/>
    </row>
    <row r="112" spans="2:10" ht="39" customHeight="1">
      <c r="B112" s="129">
        <v>3</v>
      </c>
      <c r="C112" s="118" t="s">
        <v>343</v>
      </c>
      <c r="D112" s="253" t="s">
        <v>344</v>
      </c>
      <c r="E112" s="253"/>
      <c r="F112" s="118" t="s">
        <v>345</v>
      </c>
      <c r="G112" s="118" t="s">
        <v>346</v>
      </c>
      <c r="H112" s="126"/>
      <c r="I112" s="126"/>
      <c r="J112" s="126"/>
    </row>
    <row r="113" spans="2:10" ht="39" customHeight="1">
      <c r="B113" s="129">
        <v>4</v>
      </c>
      <c r="C113" s="118" t="s">
        <v>347</v>
      </c>
      <c r="D113" s="253" t="s">
        <v>348</v>
      </c>
      <c r="E113" s="253"/>
      <c r="F113" s="118" t="s">
        <v>349</v>
      </c>
      <c r="G113" s="118" t="s">
        <v>350</v>
      </c>
      <c r="H113" s="126"/>
      <c r="I113" s="126"/>
      <c r="J113" s="126"/>
    </row>
    <row r="114" spans="2:10" ht="39" customHeight="1">
      <c r="B114" s="129">
        <v>5</v>
      </c>
      <c r="C114" s="137" t="s">
        <v>351</v>
      </c>
      <c r="D114" s="253" t="s">
        <v>352</v>
      </c>
      <c r="E114" s="253"/>
      <c r="F114" s="137" t="s">
        <v>353</v>
      </c>
      <c r="G114" s="137" t="s">
        <v>354</v>
      </c>
      <c r="H114" s="126"/>
      <c r="I114" s="126"/>
      <c r="J114" s="126"/>
    </row>
    <row r="115" spans="2:10" ht="18" customHeight="1"/>
  </sheetData>
  <mergeCells count="68">
    <mergeCell ref="D9:E9"/>
    <mergeCell ref="D113:E113"/>
    <mergeCell ref="D114:E114"/>
    <mergeCell ref="D79:E79"/>
    <mergeCell ref="D109:E109"/>
    <mergeCell ref="D110:E110"/>
    <mergeCell ref="D111:E111"/>
    <mergeCell ref="D112:E112"/>
    <mergeCell ref="D71:E71"/>
    <mergeCell ref="D75:E75"/>
    <mergeCell ref="D76:E76"/>
    <mergeCell ref="D77:E77"/>
    <mergeCell ref="D78:E78"/>
    <mergeCell ref="D66:E66"/>
    <mergeCell ref="D67:E67"/>
    <mergeCell ref="D68:E68"/>
    <mergeCell ref="D69:E69"/>
    <mergeCell ref="D70:E70"/>
    <mergeCell ref="D59:E59"/>
    <mergeCell ref="D60:E60"/>
    <mergeCell ref="D61:E61"/>
    <mergeCell ref="D62:E62"/>
    <mergeCell ref="D65:E65"/>
    <mergeCell ref="D52:E52"/>
    <mergeCell ref="D53:E53"/>
    <mergeCell ref="D56:E56"/>
    <mergeCell ref="D57:E57"/>
    <mergeCell ref="D58:E58"/>
    <mergeCell ref="D47:E47"/>
    <mergeCell ref="D48:E48"/>
    <mergeCell ref="D49:E49"/>
    <mergeCell ref="D50:E50"/>
    <mergeCell ref="D51:E51"/>
    <mergeCell ref="D40:E40"/>
    <mergeCell ref="D43:E43"/>
    <mergeCell ref="D44:E44"/>
    <mergeCell ref="D45:E45"/>
    <mergeCell ref="D46:E46"/>
    <mergeCell ref="D35:E35"/>
    <mergeCell ref="D36:E36"/>
    <mergeCell ref="D37:E37"/>
    <mergeCell ref="D38:E38"/>
    <mergeCell ref="D39:E39"/>
    <mergeCell ref="D27:E27"/>
    <mergeCell ref="D28:E28"/>
    <mergeCell ref="D29:E29"/>
    <mergeCell ref="D30:E30"/>
    <mergeCell ref="D31:E31"/>
    <mergeCell ref="D20:E20"/>
    <mergeCell ref="D21:E21"/>
    <mergeCell ref="D24:E24"/>
    <mergeCell ref="D25:E25"/>
    <mergeCell ref="D26:E26"/>
    <mergeCell ref="D15:E15"/>
    <mergeCell ref="D16:E16"/>
    <mergeCell ref="D17:E17"/>
    <mergeCell ref="D18:E18"/>
    <mergeCell ref="D19:E19"/>
    <mergeCell ref="D10:E10"/>
    <mergeCell ref="D11:E11"/>
    <mergeCell ref="D12:E12"/>
    <mergeCell ref="D13:E13"/>
    <mergeCell ref="D14:E14"/>
    <mergeCell ref="B1:C3"/>
    <mergeCell ref="D1:F3"/>
    <mergeCell ref="D6:E6"/>
    <mergeCell ref="D7:E7"/>
    <mergeCell ref="D8:E8"/>
  </mergeCells>
  <pageMargins left="0.7" right="0.7" top="0.75" bottom="0.75" header="0.511811023622047" footer="0.511811023622047"/>
  <pageSetup scale="34" orientation="portrait" horizontalDpi="300" verticalDpi="3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2" tint="-9.9978637043366805E-2"/>
  </sheetPr>
  <dimension ref="A1:I45"/>
  <sheetViews>
    <sheetView view="pageBreakPreview" topLeftCell="A37" zoomScale="120" zoomScaleNormal="100" zoomScalePageLayoutView="120" workbookViewId="0">
      <selection activeCell="H1" activeCellId="1" sqref="H75:H78 H1"/>
    </sheetView>
  </sheetViews>
  <sheetFormatPr defaultColWidth="9" defaultRowHeight="12.75" customHeight="1"/>
  <cols>
    <col min="1" max="1" width="2.109375" style="42" customWidth="1"/>
    <col min="2" max="2" width="5.88671875" style="42" customWidth="1"/>
    <col min="3" max="3" width="28.44140625" style="42" customWidth="1"/>
    <col min="4" max="4" width="23.109375" style="42" customWidth="1"/>
    <col min="5" max="5" width="13.5546875" style="42" customWidth="1"/>
    <col min="6" max="6" width="44.109375" style="42" customWidth="1"/>
    <col min="7" max="7" width="32.109375" style="42" customWidth="1"/>
    <col min="8" max="8" width="33.88671875" style="42" customWidth="1"/>
    <col min="9" max="9" width="8.5546875" style="42" customWidth="1"/>
    <col min="10" max="16384" width="9" style="42"/>
  </cols>
  <sheetData>
    <row r="1" spans="1:9" ht="17.25" customHeight="1">
      <c r="A1" s="44" t="s">
        <v>22</v>
      </c>
      <c r="B1" s="213"/>
      <c r="C1" s="213"/>
      <c r="D1" s="214" t="s">
        <v>355</v>
      </c>
      <c r="E1" s="214"/>
      <c r="F1" s="214"/>
      <c r="G1" s="214"/>
      <c r="H1" s="93" t="str">
        <f>'0. Tasklist'!$G$1</f>
        <v>Mã số: BM03-QT-OP-01</v>
      </c>
    </row>
    <row r="2" spans="1:9" ht="17.25" customHeight="1">
      <c r="A2" s="44"/>
      <c r="B2" s="213"/>
      <c r="C2" s="213"/>
      <c r="D2" s="214"/>
      <c r="E2" s="214"/>
      <c r="F2" s="214"/>
      <c r="G2" s="214"/>
      <c r="H2" s="93" t="str">
        <f>'0. Tasklist'!$G$2</f>
        <v>Ngày hiệu lực: 10/09/2025</v>
      </c>
    </row>
    <row r="3" spans="1:9" ht="17.25" customHeight="1">
      <c r="A3" s="44"/>
      <c r="B3" s="213"/>
      <c r="C3" s="213"/>
      <c r="D3" s="214"/>
      <c r="E3" s="214"/>
      <c r="F3" s="214"/>
      <c r="G3" s="214"/>
      <c r="H3" s="93" t="str">
        <f>'0. Tasklist'!$G$3</f>
        <v>Lần ban hành: 02</v>
      </c>
    </row>
    <row r="4" spans="1:9" ht="17.25" customHeight="1">
      <c r="A4" s="44"/>
      <c r="B4" s="138"/>
      <c r="C4" s="138"/>
      <c r="D4" s="139"/>
      <c r="E4" s="139"/>
      <c r="F4" s="139"/>
      <c r="G4" s="95"/>
      <c r="H4" s="95"/>
    </row>
    <row r="5" spans="1:9" s="62" customFormat="1" ht="15" customHeight="1">
      <c r="B5" s="96" t="s">
        <v>356</v>
      </c>
      <c r="C5" s="96"/>
      <c r="D5" s="96"/>
      <c r="E5" s="96"/>
      <c r="F5" s="97"/>
      <c r="G5" s="97"/>
      <c r="H5" s="97"/>
    </row>
    <row r="6" spans="1:9" s="45" customFormat="1" ht="15.6">
      <c r="A6" s="42"/>
      <c r="B6" s="99" t="s">
        <v>34</v>
      </c>
      <c r="C6" s="99" t="s">
        <v>357</v>
      </c>
      <c r="D6" s="99" t="s">
        <v>358</v>
      </c>
      <c r="E6" s="99" t="s">
        <v>359</v>
      </c>
      <c r="F6" s="99" t="s">
        <v>360</v>
      </c>
      <c r="G6" s="99" t="s">
        <v>361</v>
      </c>
      <c r="H6" s="99" t="s">
        <v>362</v>
      </c>
      <c r="I6" s="43"/>
    </row>
    <row r="7" spans="1:9" s="45" customFormat="1" ht="15.6">
      <c r="A7" s="42"/>
      <c r="B7" s="38">
        <v>1</v>
      </c>
      <c r="C7" s="134" t="s">
        <v>363</v>
      </c>
      <c r="D7" s="134" t="s">
        <v>364</v>
      </c>
      <c r="E7" s="134" t="s">
        <v>365</v>
      </c>
      <c r="F7" s="134" t="s">
        <v>366</v>
      </c>
      <c r="G7" s="134" t="s">
        <v>11</v>
      </c>
      <c r="H7" s="135"/>
    </row>
    <row r="8" spans="1:9" s="45" customFormat="1" ht="12" customHeight="1">
      <c r="A8" s="42"/>
      <c r="B8" s="38">
        <v>2</v>
      </c>
      <c r="C8" s="134" t="s">
        <v>367</v>
      </c>
      <c r="D8" s="134" t="s">
        <v>364</v>
      </c>
      <c r="E8" s="134" t="s">
        <v>368</v>
      </c>
      <c r="F8" s="134" t="s">
        <v>366</v>
      </c>
      <c r="G8" s="134" t="s">
        <v>11</v>
      </c>
      <c r="H8" s="135"/>
      <c r="I8" s="43"/>
    </row>
    <row r="9" spans="1:9" ht="15.6">
      <c r="B9" s="38">
        <v>3</v>
      </c>
      <c r="C9" s="134" t="s">
        <v>369</v>
      </c>
      <c r="D9" s="134" t="s">
        <v>370</v>
      </c>
      <c r="E9" s="134" t="s">
        <v>368</v>
      </c>
      <c r="F9" s="134" t="s">
        <v>366</v>
      </c>
      <c r="G9" s="134" t="s">
        <v>11</v>
      </c>
      <c r="H9" s="135"/>
    </row>
    <row r="10" spans="1:9" ht="15.6">
      <c r="B10" s="38">
        <v>4</v>
      </c>
      <c r="C10" s="134" t="s">
        <v>371</v>
      </c>
      <c r="D10" s="134" t="s">
        <v>370</v>
      </c>
      <c r="E10" s="134" t="s">
        <v>372</v>
      </c>
      <c r="F10" s="134" t="s">
        <v>366</v>
      </c>
      <c r="G10" s="134" t="s">
        <v>373</v>
      </c>
      <c r="H10" s="135"/>
    </row>
    <row r="11" spans="1:9" ht="15.6">
      <c r="B11" s="38">
        <v>5</v>
      </c>
      <c r="C11" s="134" t="s">
        <v>374</v>
      </c>
      <c r="D11" s="134" t="s">
        <v>364</v>
      </c>
      <c r="E11" s="134" t="s">
        <v>375</v>
      </c>
      <c r="F11" s="134" t="s">
        <v>366</v>
      </c>
      <c r="G11" s="134" t="s">
        <v>11</v>
      </c>
      <c r="H11" s="135"/>
    </row>
    <row r="12" spans="1:9" ht="15.6">
      <c r="B12" s="38">
        <v>6</v>
      </c>
      <c r="C12" s="134" t="s">
        <v>376</v>
      </c>
      <c r="D12" s="134" t="s">
        <v>364</v>
      </c>
      <c r="E12" s="134" t="s">
        <v>377</v>
      </c>
      <c r="F12" s="134" t="s">
        <v>366</v>
      </c>
      <c r="G12" s="134" t="s">
        <v>11</v>
      </c>
      <c r="H12" s="135"/>
    </row>
    <row r="13" spans="1:9" ht="15.6">
      <c r="B13" s="38">
        <v>7</v>
      </c>
      <c r="C13" s="134" t="s">
        <v>378</v>
      </c>
      <c r="D13" s="134" t="s">
        <v>364</v>
      </c>
      <c r="E13" s="134" t="s">
        <v>377</v>
      </c>
      <c r="F13" s="134" t="s">
        <v>366</v>
      </c>
      <c r="G13" s="134" t="s">
        <v>11</v>
      </c>
      <c r="H13" s="135"/>
    </row>
    <row r="14" spans="1:9" ht="15.6">
      <c r="B14" s="38">
        <v>8</v>
      </c>
      <c r="C14" s="134"/>
      <c r="D14" s="134"/>
      <c r="E14" s="134"/>
      <c r="F14" s="140"/>
      <c r="G14" s="140"/>
      <c r="H14" s="135"/>
    </row>
    <row r="15" spans="1:9" ht="15.6">
      <c r="B15" s="38">
        <v>9</v>
      </c>
      <c r="C15" s="134"/>
      <c r="D15" s="134"/>
      <c r="E15" s="134"/>
      <c r="F15" s="140"/>
      <c r="G15" s="140"/>
      <c r="H15" s="135"/>
    </row>
    <row r="16" spans="1:9" ht="15.6">
      <c r="B16" s="38">
        <v>10</v>
      </c>
      <c r="C16" s="134"/>
      <c r="D16" s="134"/>
      <c r="E16" s="134"/>
      <c r="F16" s="140"/>
      <c r="G16" s="140"/>
      <c r="H16" s="135"/>
    </row>
    <row r="17" spans="2:8" ht="15.6">
      <c r="B17" s="124"/>
      <c r="C17" s="125"/>
      <c r="D17" s="125"/>
      <c r="E17" s="125"/>
      <c r="F17" s="127"/>
      <c r="G17" s="127"/>
      <c r="H17" s="141"/>
    </row>
    <row r="18" spans="2:8" ht="15.6">
      <c r="B18" s="96" t="s">
        <v>379</v>
      </c>
      <c r="C18" s="126"/>
      <c r="D18" s="126"/>
      <c r="E18" s="126"/>
      <c r="F18" s="126"/>
      <c r="G18" s="126"/>
      <c r="H18" s="126"/>
    </row>
    <row r="19" spans="2:8" ht="15.6">
      <c r="B19" s="99" t="s">
        <v>34</v>
      </c>
      <c r="C19" s="99" t="s">
        <v>380</v>
      </c>
      <c r="D19" s="99" t="s">
        <v>358</v>
      </c>
      <c r="E19" s="99" t="s">
        <v>359</v>
      </c>
      <c r="F19" s="99" t="s">
        <v>360</v>
      </c>
      <c r="G19" s="99" t="s">
        <v>361</v>
      </c>
      <c r="H19" s="99" t="s">
        <v>362</v>
      </c>
    </row>
    <row r="20" spans="2:8" ht="15.6">
      <c r="B20" s="38">
        <v>1</v>
      </c>
      <c r="C20" s="134" t="s">
        <v>381</v>
      </c>
      <c r="D20" s="134" t="s">
        <v>382</v>
      </c>
      <c r="E20" s="134" t="s">
        <v>383</v>
      </c>
      <c r="F20" s="134" t="s">
        <v>366</v>
      </c>
      <c r="G20" s="134" t="s">
        <v>11</v>
      </c>
      <c r="H20" s="134"/>
    </row>
    <row r="21" spans="2:8" ht="31.2">
      <c r="B21" s="38">
        <v>2</v>
      </c>
      <c r="C21" s="134" t="s">
        <v>384</v>
      </c>
      <c r="D21" s="134" t="s">
        <v>382</v>
      </c>
      <c r="E21" s="134" t="s">
        <v>385</v>
      </c>
      <c r="F21" s="134" t="s">
        <v>366</v>
      </c>
      <c r="G21" s="134" t="s">
        <v>11</v>
      </c>
      <c r="H21" s="134"/>
    </row>
    <row r="22" spans="2:8" ht="15.6">
      <c r="B22" s="38">
        <v>3</v>
      </c>
      <c r="C22" s="134" t="s">
        <v>386</v>
      </c>
      <c r="D22" s="134"/>
      <c r="E22" s="134" t="s">
        <v>372</v>
      </c>
      <c r="F22" s="134" t="s">
        <v>366</v>
      </c>
      <c r="G22" s="134" t="s">
        <v>373</v>
      </c>
      <c r="H22" s="134"/>
    </row>
    <row r="23" spans="2:8" ht="15.6">
      <c r="B23" s="38">
        <v>4</v>
      </c>
      <c r="C23" s="134" t="s">
        <v>387</v>
      </c>
      <c r="D23" s="134" t="s">
        <v>388</v>
      </c>
      <c r="E23" s="134" t="s">
        <v>372</v>
      </c>
      <c r="F23" s="134" t="s">
        <v>366</v>
      </c>
      <c r="G23" s="134" t="s">
        <v>373</v>
      </c>
      <c r="H23" s="134"/>
    </row>
    <row r="24" spans="2:8" ht="15.6">
      <c r="B24" s="38">
        <v>5</v>
      </c>
      <c r="C24" s="134"/>
      <c r="D24" s="134"/>
      <c r="E24" s="134"/>
      <c r="F24" s="134"/>
      <c r="G24" s="134"/>
      <c r="H24" s="134"/>
    </row>
    <row r="25" spans="2:8" ht="15.6">
      <c r="B25" s="38">
        <v>6</v>
      </c>
      <c r="C25" s="134"/>
      <c r="D25" s="134"/>
      <c r="E25" s="134"/>
      <c r="F25" s="134"/>
      <c r="G25" s="134"/>
      <c r="H25" s="134"/>
    </row>
    <row r="26" spans="2:8" ht="15.6">
      <c r="B26" s="38">
        <v>7</v>
      </c>
      <c r="C26" s="134"/>
      <c r="D26" s="134"/>
      <c r="E26" s="134"/>
      <c r="F26" s="134"/>
      <c r="G26" s="134"/>
      <c r="H26" s="134"/>
    </row>
    <row r="27" spans="2:8" ht="15.6">
      <c r="B27" s="38">
        <v>8</v>
      </c>
      <c r="C27" s="134"/>
      <c r="D27" s="134"/>
      <c r="E27" s="134"/>
      <c r="F27" s="134"/>
      <c r="G27" s="134"/>
      <c r="H27" s="134"/>
    </row>
    <row r="28" spans="2:8" ht="15.6">
      <c r="B28" s="38">
        <v>9</v>
      </c>
      <c r="C28" s="134"/>
      <c r="D28" s="134"/>
      <c r="E28" s="134"/>
      <c r="F28" s="140"/>
      <c r="G28" s="140"/>
      <c r="H28" s="135"/>
    </row>
    <row r="29" spans="2:8" ht="15.6">
      <c r="B29" s="38">
        <v>10</v>
      </c>
      <c r="C29" s="134"/>
      <c r="D29" s="134"/>
      <c r="E29" s="134"/>
      <c r="F29" s="140"/>
      <c r="G29" s="140"/>
      <c r="H29" s="135"/>
    </row>
    <row r="30" spans="2:8" ht="15.6">
      <c r="B30" s="126"/>
      <c r="C30" s="126"/>
      <c r="D30" s="126"/>
      <c r="E30" s="126"/>
      <c r="F30" s="126"/>
      <c r="G30" s="126"/>
      <c r="H30" s="126"/>
    </row>
    <row r="31" spans="2:8" ht="15.6">
      <c r="B31" s="96" t="s">
        <v>389</v>
      </c>
      <c r="C31" s="126"/>
      <c r="D31" s="126"/>
      <c r="E31" s="126"/>
      <c r="F31" s="126"/>
      <c r="G31" s="126"/>
      <c r="H31" s="126"/>
    </row>
    <row r="32" spans="2:8" ht="15" customHeight="1">
      <c r="B32" s="99" t="s">
        <v>34</v>
      </c>
      <c r="C32" s="99" t="s">
        <v>390</v>
      </c>
      <c r="D32" s="99" t="s">
        <v>79</v>
      </c>
      <c r="E32" s="254" t="s">
        <v>37</v>
      </c>
      <c r="F32" s="254"/>
      <c r="G32" s="99" t="s">
        <v>27</v>
      </c>
      <c r="H32" s="99" t="s">
        <v>391</v>
      </c>
    </row>
    <row r="33" spans="2:8" ht="15.6">
      <c r="B33" s="38">
        <v>1</v>
      </c>
      <c r="C33" s="134"/>
      <c r="D33" s="142" t="s">
        <v>136</v>
      </c>
      <c r="E33" s="257"/>
      <c r="F33" s="257"/>
      <c r="G33" s="134"/>
      <c r="H33" s="134"/>
    </row>
    <row r="34" spans="2:8" ht="15.6">
      <c r="B34" s="38">
        <v>2</v>
      </c>
      <c r="C34" s="134"/>
      <c r="D34" s="142" t="s">
        <v>136</v>
      </c>
      <c r="E34" s="257"/>
      <c r="F34" s="257"/>
      <c r="G34" s="134"/>
      <c r="H34" s="134"/>
    </row>
    <row r="35" spans="2:8" ht="15.6">
      <c r="B35" s="38">
        <v>3</v>
      </c>
      <c r="C35" s="134"/>
      <c r="D35" s="142" t="s">
        <v>136</v>
      </c>
      <c r="E35" s="257"/>
      <c r="F35" s="257"/>
      <c r="G35" s="134"/>
      <c r="H35" s="134"/>
    </row>
    <row r="36" spans="2:8" ht="15.6">
      <c r="B36" s="38">
        <v>4</v>
      </c>
      <c r="C36" s="134"/>
      <c r="D36" s="142" t="s">
        <v>136</v>
      </c>
      <c r="E36" s="257"/>
      <c r="F36" s="257"/>
      <c r="G36" s="134"/>
      <c r="H36" s="134"/>
    </row>
    <row r="37" spans="2:8" ht="15.6">
      <c r="B37" s="38">
        <v>5</v>
      </c>
      <c r="C37" s="134"/>
      <c r="D37" s="142" t="s">
        <v>136</v>
      </c>
      <c r="E37" s="257"/>
      <c r="F37" s="257"/>
      <c r="G37" s="134"/>
      <c r="H37" s="134"/>
    </row>
    <row r="38" spans="2:8" ht="15.6">
      <c r="B38" s="126"/>
      <c r="C38" s="126"/>
      <c r="D38" s="126"/>
      <c r="E38" s="126"/>
      <c r="F38" s="126"/>
      <c r="G38" s="126"/>
      <c r="H38" s="126"/>
    </row>
    <row r="39" spans="2:8" ht="15.6">
      <c r="B39" s="96" t="s">
        <v>392</v>
      </c>
      <c r="C39" s="126"/>
      <c r="D39" s="126"/>
      <c r="E39" s="126"/>
      <c r="F39" s="126"/>
      <c r="G39" s="126"/>
      <c r="H39" s="126"/>
    </row>
    <row r="40" spans="2:8" ht="15" customHeight="1">
      <c r="B40" s="99" t="s">
        <v>34</v>
      </c>
      <c r="C40" s="99" t="s">
        <v>390</v>
      </c>
      <c r="D40" s="99" t="s">
        <v>79</v>
      </c>
      <c r="E40" s="254" t="s">
        <v>37</v>
      </c>
      <c r="F40" s="254"/>
      <c r="G40" s="99" t="s">
        <v>27</v>
      </c>
      <c r="H40" s="99" t="s">
        <v>391</v>
      </c>
    </row>
    <row r="41" spans="2:8" ht="15.6">
      <c r="B41" s="38">
        <v>1</v>
      </c>
      <c r="C41" s="134"/>
      <c r="D41" s="142" t="s">
        <v>136</v>
      </c>
      <c r="E41" s="257"/>
      <c r="F41" s="257"/>
      <c r="G41" s="134"/>
      <c r="H41" s="134"/>
    </row>
    <row r="42" spans="2:8" ht="15.6">
      <c r="B42" s="38">
        <v>2</v>
      </c>
      <c r="C42" s="134"/>
      <c r="D42" s="142" t="s">
        <v>136</v>
      </c>
      <c r="E42" s="257"/>
      <c r="F42" s="257"/>
      <c r="G42" s="134"/>
      <c r="H42" s="134"/>
    </row>
    <row r="43" spans="2:8" ht="15.6">
      <c r="B43" s="38">
        <v>3</v>
      </c>
      <c r="C43" s="134"/>
      <c r="D43" s="142" t="s">
        <v>136</v>
      </c>
      <c r="E43" s="257"/>
      <c r="F43" s="257"/>
      <c r="G43" s="134"/>
      <c r="H43" s="134"/>
    </row>
    <row r="44" spans="2:8" ht="15.6">
      <c r="B44" s="38">
        <v>4</v>
      </c>
      <c r="C44" s="134"/>
      <c r="D44" s="142" t="s">
        <v>136</v>
      </c>
      <c r="E44" s="257"/>
      <c r="F44" s="257"/>
      <c r="G44" s="134"/>
      <c r="H44" s="134"/>
    </row>
    <row r="45" spans="2:8" ht="15.6">
      <c r="B45" s="38">
        <v>5</v>
      </c>
      <c r="C45" s="134"/>
      <c r="D45" s="142" t="s">
        <v>136</v>
      </c>
      <c r="E45" s="257"/>
      <c r="F45" s="257"/>
      <c r="G45" s="134"/>
      <c r="H45" s="134"/>
    </row>
  </sheetData>
  <mergeCells count="14">
    <mergeCell ref="E42:F42"/>
    <mergeCell ref="E43:F43"/>
    <mergeCell ref="E44:F44"/>
    <mergeCell ref="E45:F45"/>
    <mergeCell ref="E35:F35"/>
    <mergeCell ref="E36:F36"/>
    <mergeCell ref="E37:F37"/>
    <mergeCell ref="E40:F40"/>
    <mergeCell ref="E41:F41"/>
    <mergeCell ref="B1:C3"/>
    <mergeCell ref="D1:G3"/>
    <mergeCell ref="E32:F32"/>
    <mergeCell ref="E33:F33"/>
    <mergeCell ref="E34:F34"/>
  </mergeCells>
  <pageMargins left="0.7" right="0.7" top="0.75" bottom="0.75" header="0.511811023622047" footer="0.511811023622047"/>
  <pageSetup scale="54"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Master!$F$4:$F$20</xm:f>
          </x14:formula1>
          <x14:formula2>
            <xm:f>0</xm:f>
          </x14:formula2>
          <xm:sqref>D33:D37 D41:D45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2" tint="-9.9978637043366805E-2"/>
  </sheetPr>
  <dimension ref="A1:P48"/>
  <sheetViews>
    <sheetView view="pageBreakPreview" topLeftCell="D1" zoomScale="70" zoomScaleNormal="100" zoomScaleSheetLayoutView="70" zoomScalePageLayoutView="120" workbookViewId="0">
      <selection activeCell="J8" sqref="J8"/>
    </sheetView>
  </sheetViews>
  <sheetFormatPr defaultColWidth="9" defaultRowHeight="12.75" customHeight="1"/>
  <cols>
    <col min="1" max="1" width="2.109375" style="143" customWidth="1"/>
    <col min="2" max="2" width="5.88671875" style="143" customWidth="1"/>
    <col min="3" max="3" width="20.6640625" style="143" customWidth="1"/>
    <col min="4" max="4" width="31.88671875" style="143" customWidth="1"/>
    <col min="5" max="5" width="51.33203125" style="143" customWidth="1"/>
    <col min="6" max="8" width="13.44140625" style="143" customWidth="1"/>
    <col min="9" max="9" width="65.109375" style="143" customWidth="1"/>
    <col min="10" max="11" width="48.6640625" style="143" customWidth="1"/>
    <col min="12" max="16" width="13.109375" style="143" customWidth="1"/>
    <col min="17" max="16384" width="9" style="143"/>
  </cols>
  <sheetData>
    <row r="1" spans="1:16" ht="21" customHeight="1">
      <c r="A1" s="144" t="s">
        <v>22</v>
      </c>
      <c r="B1" s="258"/>
      <c r="C1" s="258"/>
      <c r="D1" s="259" t="s">
        <v>393</v>
      </c>
      <c r="E1" s="259"/>
      <c r="F1" s="259"/>
      <c r="G1" s="259"/>
      <c r="H1" s="260" t="str">
        <f>'0. Tasklist'!$G$1</f>
        <v>Mã số: BM03-QT-OP-01</v>
      </c>
      <c r="I1" s="260"/>
      <c r="J1" s="145"/>
      <c r="K1" s="145"/>
    </row>
    <row r="2" spans="1:16" ht="21" customHeight="1">
      <c r="A2" s="144"/>
      <c r="B2" s="258"/>
      <c r="C2" s="258"/>
      <c r="D2" s="259"/>
      <c r="E2" s="259"/>
      <c r="F2" s="259"/>
      <c r="G2" s="259"/>
      <c r="H2" s="260" t="str">
        <f>'0. Tasklist'!$G$2</f>
        <v>Ngày hiệu lực: 10/09/2025</v>
      </c>
      <c r="I2" s="260"/>
      <c r="J2" s="145"/>
      <c r="K2" s="145"/>
    </row>
    <row r="3" spans="1:16" ht="21" customHeight="1">
      <c r="A3" s="144"/>
      <c r="B3" s="258"/>
      <c r="C3" s="258"/>
      <c r="D3" s="259"/>
      <c r="E3" s="259"/>
      <c r="F3" s="259"/>
      <c r="G3" s="259"/>
      <c r="H3" s="260" t="str">
        <f>'0. Tasklist'!$G$3</f>
        <v>Lần ban hành: 02</v>
      </c>
      <c r="I3" s="260"/>
      <c r="J3" s="145"/>
      <c r="K3" s="145"/>
    </row>
    <row r="4" spans="1:16" ht="19.5" customHeight="1">
      <c r="D4" s="261"/>
      <c r="E4" s="261"/>
      <c r="F4" s="261"/>
      <c r="G4" s="261"/>
      <c r="H4" s="261"/>
      <c r="I4" s="261"/>
      <c r="J4" s="146"/>
      <c r="K4" s="146"/>
    </row>
    <row r="5" spans="1:16" ht="19.5" customHeight="1">
      <c r="B5" s="143" t="s">
        <v>394</v>
      </c>
      <c r="G5" s="147"/>
    </row>
    <row r="6" spans="1:16" ht="19.5" customHeight="1">
      <c r="B6" s="148"/>
      <c r="C6" s="149"/>
      <c r="D6" s="149"/>
      <c r="E6" s="149"/>
      <c r="F6" s="262" t="s">
        <v>395</v>
      </c>
      <c r="G6" s="262"/>
      <c r="H6" s="262"/>
      <c r="I6" s="149"/>
      <c r="J6" s="149"/>
      <c r="K6" s="149"/>
      <c r="L6" s="150" t="s">
        <v>396</v>
      </c>
      <c r="M6" s="148"/>
      <c r="N6" s="148"/>
      <c r="O6" s="148"/>
      <c r="P6" s="151"/>
    </row>
    <row r="7" spans="1:16" ht="27" customHeight="1">
      <c r="B7" s="149" t="s">
        <v>34</v>
      </c>
      <c r="C7" s="149" t="s">
        <v>397</v>
      </c>
      <c r="D7" s="149" t="s">
        <v>398</v>
      </c>
      <c r="E7" s="149" t="s">
        <v>399</v>
      </c>
      <c r="F7" s="149" t="s">
        <v>400</v>
      </c>
      <c r="G7" s="149" t="s">
        <v>401</v>
      </c>
      <c r="H7" s="149" t="s">
        <v>402</v>
      </c>
      <c r="I7" s="149" t="s">
        <v>403</v>
      </c>
      <c r="J7" s="149" t="s">
        <v>404</v>
      </c>
      <c r="K7" s="149" t="s">
        <v>405</v>
      </c>
      <c r="L7" s="152" t="s">
        <v>65</v>
      </c>
      <c r="M7" s="153" t="s">
        <v>65</v>
      </c>
      <c r="N7" s="153" t="s">
        <v>65</v>
      </c>
      <c r="O7" s="153" t="s">
        <v>65</v>
      </c>
      <c r="P7" s="153" t="s">
        <v>65</v>
      </c>
    </row>
    <row r="8" spans="1:16" ht="53.25" customHeight="1">
      <c r="B8" s="154">
        <v>1</v>
      </c>
      <c r="C8" s="263" t="s">
        <v>406</v>
      </c>
      <c r="D8" s="155" t="s">
        <v>407</v>
      </c>
      <c r="E8" s="155" t="s">
        <v>408</v>
      </c>
      <c r="F8" s="156">
        <v>80</v>
      </c>
      <c r="G8" s="156">
        <v>90</v>
      </c>
      <c r="H8" s="156">
        <v>100</v>
      </c>
      <c r="I8" s="157" t="s">
        <v>409</v>
      </c>
      <c r="J8" s="157" t="s">
        <v>410</v>
      </c>
      <c r="K8" s="157" t="s">
        <v>411</v>
      </c>
      <c r="L8" s="158"/>
      <c r="M8" s="159"/>
      <c r="N8" s="159"/>
      <c r="O8" s="159"/>
      <c r="P8" s="159"/>
    </row>
    <row r="9" spans="1:16" ht="46.5" customHeight="1">
      <c r="B9" s="154">
        <v>2</v>
      </c>
      <c r="C9" s="263"/>
      <c r="D9" s="155" t="s">
        <v>412</v>
      </c>
      <c r="E9" s="155" t="s">
        <v>413</v>
      </c>
      <c r="F9" s="156">
        <v>0.06</v>
      </c>
      <c r="G9" s="156">
        <v>0.13</v>
      </c>
      <c r="H9" s="156">
        <v>0.2</v>
      </c>
      <c r="I9" s="157" t="s">
        <v>414</v>
      </c>
      <c r="J9" s="157" t="s">
        <v>415</v>
      </c>
      <c r="K9" s="157" t="s">
        <v>416</v>
      </c>
      <c r="L9" s="158"/>
      <c r="M9" s="159"/>
      <c r="N9" s="159"/>
      <c r="O9" s="159"/>
      <c r="P9" s="159"/>
    </row>
    <row r="10" spans="1:16" ht="65.25" customHeight="1">
      <c r="B10" s="154">
        <v>3</v>
      </c>
      <c r="C10" s="263"/>
      <c r="D10" s="155" t="s">
        <v>417</v>
      </c>
      <c r="E10" s="155" t="s">
        <v>413</v>
      </c>
      <c r="F10" s="160">
        <v>12</v>
      </c>
      <c r="G10" s="160">
        <v>17</v>
      </c>
      <c r="H10" s="160">
        <v>23</v>
      </c>
      <c r="I10" s="157" t="s">
        <v>418</v>
      </c>
      <c r="J10" s="157" t="s">
        <v>419</v>
      </c>
      <c r="K10" s="157" t="s">
        <v>420</v>
      </c>
      <c r="L10" s="158"/>
      <c r="M10" s="159"/>
      <c r="N10" s="159"/>
      <c r="O10" s="159"/>
      <c r="P10" s="159"/>
    </row>
    <row r="11" spans="1:16" ht="70.5" customHeight="1">
      <c r="B11" s="154">
        <v>4</v>
      </c>
      <c r="C11" s="263"/>
      <c r="D11" s="155" t="s">
        <v>421</v>
      </c>
      <c r="E11" s="155" t="s">
        <v>413</v>
      </c>
      <c r="F11" s="160">
        <v>3</v>
      </c>
      <c r="G11" s="160">
        <v>6.5</v>
      </c>
      <c r="H11" s="160">
        <v>9.6999999999999993</v>
      </c>
      <c r="I11" s="157" t="s">
        <v>418</v>
      </c>
      <c r="J11" s="157" t="s">
        <v>422</v>
      </c>
      <c r="K11" s="157" t="s">
        <v>420</v>
      </c>
      <c r="L11" s="158"/>
      <c r="M11" s="159"/>
      <c r="N11" s="159"/>
      <c r="O11" s="159"/>
      <c r="P11" s="159"/>
    </row>
    <row r="12" spans="1:16" ht="48.75" customHeight="1">
      <c r="B12" s="154">
        <v>5</v>
      </c>
      <c r="C12" s="155" t="s">
        <v>423</v>
      </c>
      <c r="D12" s="155" t="s">
        <v>424</v>
      </c>
      <c r="E12" s="155" t="s">
        <v>425</v>
      </c>
      <c r="F12" s="156">
        <v>80</v>
      </c>
      <c r="G12" s="156">
        <v>95</v>
      </c>
      <c r="H12" s="156">
        <v>110</v>
      </c>
      <c r="I12" s="157" t="s">
        <v>426</v>
      </c>
      <c r="J12" s="157" t="s">
        <v>427</v>
      </c>
      <c r="K12" s="157" t="s">
        <v>428</v>
      </c>
      <c r="L12" s="158"/>
      <c r="M12" s="159"/>
      <c r="N12" s="159"/>
      <c r="O12" s="159"/>
      <c r="P12" s="159"/>
    </row>
    <row r="13" spans="1:16" ht="48.75" customHeight="1">
      <c r="B13" s="154">
        <v>6</v>
      </c>
      <c r="C13" s="155" t="s">
        <v>429</v>
      </c>
      <c r="D13" s="155" t="s">
        <v>430</v>
      </c>
      <c r="E13" s="155" t="s">
        <v>425</v>
      </c>
      <c r="F13" s="156">
        <v>80</v>
      </c>
      <c r="G13" s="156">
        <v>90</v>
      </c>
      <c r="H13" s="156">
        <v>100</v>
      </c>
      <c r="I13" s="157" t="s">
        <v>431</v>
      </c>
      <c r="J13" s="157" t="s">
        <v>432</v>
      </c>
      <c r="K13" s="157" t="s">
        <v>428</v>
      </c>
      <c r="L13" s="158"/>
      <c r="M13" s="159"/>
      <c r="N13" s="159"/>
      <c r="O13" s="159"/>
      <c r="P13" s="159"/>
    </row>
    <row r="14" spans="1:16" ht="48.75" customHeight="1">
      <c r="B14" s="154">
        <v>7</v>
      </c>
      <c r="C14" s="155" t="s">
        <v>433</v>
      </c>
      <c r="D14" s="155" t="s">
        <v>434</v>
      </c>
      <c r="E14" s="155" t="s">
        <v>425</v>
      </c>
      <c r="F14" s="156">
        <v>80</v>
      </c>
      <c r="G14" s="156">
        <v>90</v>
      </c>
      <c r="H14" s="156">
        <v>100</v>
      </c>
      <c r="I14" s="157" t="s">
        <v>435</v>
      </c>
      <c r="J14" s="157" t="s">
        <v>436</v>
      </c>
      <c r="K14" s="157" t="s">
        <v>437</v>
      </c>
      <c r="L14" s="158"/>
      <c r="M14" s="159"/>
      <c r="N14" s="159"/>
      <c r="O14" s="159"/>
      <c r="P14" s="159"/>
    </row>
    <row r="15" spans="1:16" ht="19.5" customHeight="1">
      <c r="D15" s="146"/>
      <c r="E15" s="146"/>
      <c r="F15" s="146"/>
      <c r="G15" s="146"/>
      <c r="H15" s="146"/>
      <c r="I15" s="146"/>
      <c r="J15" s="146"/>
      <c r="K15" s="146"/>
    </row>
    <row r="16" spans="1:16" ht="15" customHeight="1">
      <c r="B16" s="161" t="s">
        <v>438</v>
      </c>
      <c r="G16" s="162"/>
      <c r="H16" s="162"/>
      <c r="I16" s="162"/>
      <c r="J16" s="162"/>
      <c r="K16" s="162"/>
    </row>
    <row r="17" spans="2:16" ht="15" customHeight="1">
      <c r="B17" s="163"/>
      <c r="C17" s="163"/>
      <c r="D17" s="163"/>
      <c r="E17" s="163"/>
      <c r="F17" s="264" t="s">
        <v>439</v>
      </c>
      <c r="G17" s="264"/>
      <c r="H17" s="264"/>
      <c r="I17" s="163"/>
      <c r="J17" s="164"/>
      <c r="K17" s="164"/>
      <c r="L17" s="150" t="s">
        <v>396</v>
      </c>
      <c r="M17" s="148"/>
      <c r="N17" s="148"/>
      <c r="O17" s="148"/>
      <c r="P17" s="151"/>
    </row>
    <row r="18" spans="2:16" ht="15.6">
      <c r="B18" s="163" t="s">
        <v>34</v>
      </c>
      <c r="C18" s="163" t="s">
        <v>79</v>
      </c>
      <c r="D18" s="163" t="s">
        <v>398</v>
      </c>
      <c r="E18" s="163" t="s">
        <v>440</v>
      </c>
      <c r="F18" s="163" t="s">
        <v>441</v>
      </c>
      <c r="G18" s="163" t="s">
        <v>442</v>
      </c>
      <c r="H18" s="163" t="s">
        <v>443</v>
      </c>
      <c r="I18" s="149" t="s">
        <v>403</v>
      </c>
      <c r="J18" s="149" t="s">
        <v>404</v>
      </c>
      <c r="K18" s="149" t="s">
        <v>405</v>
      </c>
      <c r="L18" s="153" t="s">
        <v>65</v>
      </c>
      <c r="M18" s="153" t="s">
        <v>65</v>
      </c>
      <c r="N18" s="153" t="s">
        <v>65</v>
      </c>
      <c r="O18" s="153" t="s">
        <v>65</v>
      </c>
      <c r="P18" s="153" t="s">
        <v>65</v>
      </c>
    </row>
    <row r="19" spans="2:16" ht="102.75" customHeight="1">
      <c r="B19" s="154">
        <v>1</v>
      </c>
      <c r="C19" s="165" t="s">
        <v>86</v>
      </c>
      <c r="D19" s="165" t="s">
        <v>444</v>
      </c>
      <c r="E19" s="165" t="s">
        <v>445</v>
      </c>
      <c r="F19" s="166">
        <v>2</v>
      </c>
      <c r="G19" s="166">
        <v>3</v>
      </c>
      <c r="H19" s="166">
        <v>5</v>
      </c>
      <c r="I19" s="157" t="s">
        <v>446</v>
      </c>
      <c r="J19" s="157" t="s">
        <v>447</v>
      </c>
      <c r="K19" s="157" t="s">
        <v>420</v>
      </c>
      <c r="L19" s="159"/>
      <c r="M19" s="159"/>
      <c r="N19" s="159"/>
      <c r="O19" s="159"/>
      <c r="P19" s="159"/>
    </row>
    <row r="20" spans="2:16" ht="94.5" customHeight="1">
      <c r="B20" s="154">
        <v>2</v>
      </c>
      <c r="C20" s="165" t="s">
        <v>87</v>
      </c>
      <c r="D20" s="165" t="s">
        <v>448</v>
      </c>
      <c r="E20" s="165" t="s">
        <v>445</v>
      </c>
      <c r="F20" s="166">
        <v>3</v>
      </c>
      <c r="G20" s="166">
        <v>5</v>
      </c>
      <c r="H20" s="166">
        <v>7</v>
      </c>
      <c r="I20" s="157" t="s">
        <v>449</v>
      </c>
      <c r="J20" s="157" t="s">
        <v>450</v>
      </c>
      <c r="K20" s="157" t="s">
        <v>420</v>
      </c>
      <c r="L20" s="159"/>
      <c r="M20" s="159"/>
      <c r="N20" s="159"/>
      <c r="O20" s="159"/>
      <c r="P20" s="159"/>
    </row>
    <row r="21" spans="2:16" ht="94.5" customHeight="1">
      <c r="B21" s="154">
        <v>3</v>
      </c>
      <c r="C21" s="165" t="s">
        <v>89</v>
      </c>
      <c r="D21" s="165" t="s">
        <v>451</v>
      </c>
      <c r="E21" s="165" t="s">
        <v>452</v>
      </c>
      <c r="F21" s="166">
        <v>5</v>
      </c>
      <c r="G21" s="166">
        <v>10</v>
      </c>
      <c r="H21" s="166">
        <v>15</v>
      </c>
      <c r="I21" s="157" t="s">
        <v>453</v>
      </c>
      <c r="J21" s="157" t="s">
        <v>454</v>
      </c>
      <c r="K21" s="157" t="s">
        <v>420</v>
      </c>
      <c r="L21" s="159"/>
      <c r="M21" s="159"/>
      <c r="N21" s="159"/>
      <c r="O21" s="159"/>
      <c r="P21" s="159"/>
    </row>
    <row r="22" spans="2:16" ht="94.5" customHeight="1">
      <c r="B22" s="154">
        <v>4</v>
      </c>
      <c r="C22" s="165" t="s">
        <v>89</v>
      </c>
      <c r="D22" s="165" t="s">
        <v>455</v>
      </c>
      <c r="E22" s="165" t="s">
        <v>456</v>
      </c>
      <c r="F22" s="167">
        <v>0.8</v>
      </c>
      <c r="G22" s="167">
        <v>0.9</v>
      </c>
      <c r="H22" s="167">
        <v>1</v>
      </c>
      <c r="I22" s="157" t="s">
        <v>453</v>
      </c>
      <c r="J22" s="157" t="s">
        <v>457</v>
      </c>
      <c r="K22" s="157" t="s">
        <v>420</v>
      </c>
      <c r="L22" s="159"/>
      <c r="M22" s="159"/>
      <c r="N22" s="159"/>
      <c r="O22" s="159"/>
      <c r="P22" s="159"/>
    </row>
    <row r="23" spans="2:16" ht="94.5" customHeight="1">
      <c r="B23" s="154">
        <v>5</v>
      </c>
      <c r="C23" s="165" t="s">
        <v>89</v>
      </c>
      <c r="D23" s="165" t="s">
        <v>458</v>
      </c>
      <c r="E23" s="165" t="s">
        <v>459</v>
      </c>
      <c r="F23" s="166">
        <v>5</v>
      </c>
      <c r="G23" s="166">
        <v>7</v>
      </c>
      <c r="H23" s="166">
        <v>10</v>
      </c>
      <c r="I23" s="157" t="s">
        <v>460</v>
      </c>
      <c r="J23" s="157" t="s">
        <v>461</v>
      </c>
      <c r="K23" s="157" t="s">
        <v>420</v>
      </c>
      <c r="L23" s="159"/>
      <c r="M23" s="159"/>
      <c r="N23" s="159"/>
      <c r="O23" s="159"/>
      <c r="P23" s="159"/>
    </row>
    <row r="24" spans="2:16" ht="94.5" customHeight="1">
      <c r="B24" s="154">
        <v>6</v>
      </c>
      <c r="C24" s="165" t="s">
        <v>89</v>
      </c>
      <c r="D24" s="165" t="s">
        <v>462</v>
      </c>
      <c r="E24" s="165" t="s">
        <v>459</v>
      </c>
      <c r="F24" s="166">
        <v>0.5</v>
      </c>
      <c r="G24" s="166">
        <v>0.7</v>
      </c>
      <c r="H24" s="166">
        <v>1</v>
      </c>
      <c r="I24" s="157" t="s">
        <v>463</v>
      </c>
      <c r="J24" s="157" t="s">
        <v>464</v>
      </c>
      <c r="K24" s="157" t="s">
        <v>420</v>
      </c>
      <c r="L24" s="159"/>
      <c r="M24" s="159"/>
      <c r="N24" s="159"/>
      <c r="O24" s="159"/>
      <c r="P24" s="159"/>
    </row>
    <row r="25" spans="2:16" ht="94.5" customHeight="1">
      <c r="B25" s="154">
        <v>7</v>
      </c>
      <c r="C25" s="165" t="s">
        <v>89</v>
      </c>
      <c r="D25" s="165" t="s">
        <v>458</v>
      </c>
      <c r="E25" s="165" t="s">
        <v>465</v>
      </c>
      <c r="F25" s="168">
        <v>15</v>
      </c>
      <c r="G25" s="168">
        <v>20</v>
      </c>
      <c r="H25" s="168">
        <v>25</v>
      </c>
      <c r="I25" s="157" t="s">
        <v>460</v>
      </c>
      <c r="J25" s="157" t="s">
        <v>466</v>
      </c>
      <c r="K25" s="157" t="s">
        <v>420</v>
      </c>
      <c r="L25" s="159"/>
      <c r="M25" s="159"/>
      <c r="N25" s="159"/>
      <c r="O25" s="159"/>
      <c r="P25" s="159"/>
    </row>
    <row r="26" spans="2:16" ht="94.5" customHeight="1">
      <c r="B26" s="154">
        <v>8</v>
      </c>
      <c r="C26" s="165" t="s">
        <v>89</v>
      </c>
      <c r="D26" s="165" t="s">
        <v>462</v>
      </c>
      <c r="E26" s="165" t="s">
        <v>465</v>
      </c>
      <c r="F26" s="168">
        <v>3</v>
      </c>
      <c r="G26" s="168">
        <v>5</v>
      </c>
      <c r="H26" s="168">
        <v>7</v>
      </c>
      <c r="I26" s="157" t="s">
        <v>463</v>
      </c>
      <c r="J26" s="157" t="s">
        <v>467</v>
      </c>
      <c r="K26" s="157" t="s">
        <v>420</v>
      </c>
      <c r="L26" s="159"/>
      <c r="M26" s="159"/>
      <c r="N26" s="159"/>
      <c r="O26" s="159"/>
      <c r="P26" s="159"/>
    </row>
    <row r="27" spans="2:16" ht="15.6">
      <c r="B27" s="169"/>
      <c r="C27" s="170"/>
      <c r="D27" s="170"/>
      <c r="E27" s="170"/>
      <c r="F27" s="170"/>
      <c r="G27" s="171"/>
      <c r="H27" s="171"/>
      <c r="I27" s="161"/>
      <c r="J27" s="161"/>
      <c r="K27" s="161"/>
    </row>
    <row r="28" spans="2:16" ht="15.6">
      <c r="B28" s="161" t="s">
        <v>468</v>
      </c>
      <c r="C28" s="161"/>
      <c r="D28" s="161"/>
      <c r="E28" s="161"/>
      <c r="F28" s="161"/>
      <c r="G28" s="161"/>
      <c r="H28" s="161"/>
      <c r="I28" s="161"/>
      <c r="J28" s="161"/>
      <c r="K28" s="161"/>
    </row>
    <row r="29" spans="2:16" ht="15.6" customHeight="1">
      <c r="B29" s="163" t="s">
        <v>34</v>
      </c>
      <c r="C29" s="163" t="s">
        <v>79</v>
      </c>
      <c r="D29" s="163" t="s">
        <v>256</v>
      </c>
      <c r="E29" s="163" t="s">
        <v>469</v>
      </c>
      <c r="F29" s="264" t="s">
        <v>75</v>
      </c>
      <c r="G29" s="264"/>
      <c r="H29" s="264"/>
      <c r="I29" s="264"/>
      <c r="J29" s="172"/>
    </row>
    <row r="30" spans="2:16" s="172" customFormat="1" ht="33.75" customHeight="1">
      <c r="B30" s="154">
        <v>1</v>
      </c>
      <c r="C30" s="173" t="s">
        <v>88</v>
      </c>
      <c r="D30" s="173" t="s">
        <v>88</v>
      </c>
      <c r="E30" s="173" t="s">
        <v>470</v>
      </c>
      <c r="F30" s="265" t="s">
        <v>471</v>
      </c>
      <c r="G30" s="265"/>
      <c r="H30" s="265"/>
      <c r="I30" s="265"/>
    </row>
    <row r="31" spans="2:16" s="172" customFormat="1" ht="43.95" customHeight="1">
      <c r="B31" s="154">
        <v>2</v>
      </c>
      <c r="C31" s="173" t="s">
        <v>88</v>
      </c>
      <c r="D31" s="173" t="s">
        <v>472</v>
      </c>
      <c r="E31" s="173" t="s">
        <v>473</v>
      </c>
      <c r="F31" s="265" t="s">
        <v>474</v>
      </c>
      <c r="G31" s="265"/>
      <c r="H31" s="265"/>
      <c r="I31" s="265"/>
    </row>
    <row r="32" spans="2:16" s="172" customFormat="1" ht="58.2" customHeight="1">
      <c r="B32" s="154">
        <v>3</v>
      </c>
      <c r="C32" s="173" t="s">
        <v>88</v>
      </c>
      <c r="D32" s="173" t="s">
        <v>472</v>
      </c>
      <c r="E32" s="173" t="s">
        <v>475</v>
      </c>
      <c r="F32" s="265" t="s">
        <v>476</v>
      </c>
      <c r="G32" s="265"/>
      <c r="H32" s="265"/>
      <c r="I32" s="265"/>
    </row>
    <row r="33" spans="2:14" s="172" customFormat="1" ht="33" customHeight="1">
      <c r="B33" s="154">
        <v>4</v>
      </c>
      <c r="C33" s="173" t="s">
        <v>89</v>
      </c>
      <c r="D33" s="173" t="s">
        <v>477</v>
      </c>
      <c r="E33" s="173" t="s">
        <v>478</v>
      </c>
      <c r="F33" s="265" t="s">
        <v>479</v>
      </c>
      <c r="G33" s="265"/>
      <c r="H33" s="265"/>
      <c r="I33" s="265"/>
    </row>
    <row r="34" spans="2:14" s="172" customFormat="1" ht="30.75" customHeight="1">
      <c r="B34" s="154">
        <v>5</v>
      </c>
      <c r="C34" s="173" t="s">
        <v>89</v>
      </c>
      <c r="D34" s="173" t="s">
        <v>477</v>
      </c>
      <c r="E34" s="173" t="s">
        <v>480</v>
      </c>
      <c r="F34" s="265" t="s">
        <v>481</v>
      </c>
      <c r="G34" s="265"/>
      <c r="H34" s="265"/>
      <c r="I34" s="265"/>
    </row>
    <row r="35" spans="2:14" s="172" customFormat="1" ht="90" customHeight="1">
      <c r="B35" s="154">
        <v>6</v>
      </c>
      <c r="C35" s="173" t="s">
        <v>89</v>
      </c>
      <c r="D35" s="173" t="s">
        <v>482</v>
      </c>
      <c r="E35" s="173" t="s">
        <v>483</v>
      </c>
      <c r="F35" s="265" t="s">
        <v>484</v>
      </c>
      <c r="G35" s="265"/>
      <c r="H35" s="265"/>
      <c r="I35" s="265"/>
    </row>
    <row r="36" spans="2:14" s="172" customFormat="1" ht="15.6">
      <c r="B36" s="154"/>
      <c r="C36" s="173"/>
      <c r="D36" s="173"/>
      <c r="E36" s="173"/>
      <c r="F36" s="265"/>
      <c r="G36" s="265"/>
      <c r="H36" s="265"/>
      <c r="I36" s="265"/>
    </row>
    <row r="37" spans="2:14" ht="15.6">
      <c r="B37" s="161"/>
      <c r="C37" s="161"/>
      <c r="D37" s="161"/>
      <c r="E37" s="161"/>
      <c r="J37" s="161"/>
      <c r="K37" s="161"/>
      <c r="L37" s="161"/>
      <c r="M37" s="161"/>
      <c r="N37" s="161"/>
    </row>
    <row r="38" spans="2:14" ht="15.6">
      <c r="B38" s="161" t="s">
        <v>485</v>
      </c>
      <c r="C38" s="161"/>
      <c r="D38" s="161"/>
      <c r="E38" s="161"/>
      <c r="J38" s="161"/>
      <c r="K38" s="161"/>
      <c r="L38" s="161"/>
      <c r="M38" s="161"/>
      <c r="N38" s="161"/>
    </row>
    <row r="39" spans="2:14" ht="15.6">
      <c r="B39" s="161" t="s">
        <v>486</v>
      </c>
      <c r="C39" s="161"/>
      <c r="D39" s="161"/>
      <c r="E39" s="161"/>
      <c r="J39" s="161"/>
      <c r="K39" s="161"/>
      <c r="L39" s="161"/>
      <c r="M39" s="161"/>
      <c r="N39" s="161"/>
    </row>
    <row r="40" spans="2:14" ht="15.6" customHeight="1">
      <c r="B40" s="163" t="s">
        <v>34</v>
      </c>
      <c r="C40" s="163" t="s">
        <v>79</v>
      </c>
      <c r="D40" s="163" t="s">
        <v>256</v>
      </c>
      <c r="E40" s="163" t="s">
        <v>469</v>
      </c>
      <c r="F40" s="264" t="s">
        <v>75</v>
      </c>
      <c r="G40" s="264"/>
      <c r="H40" s="264"/>
      <c r="I40" s="264"/>
      <c r="N40" s="161"/>
    </row>
    <row r="41" spans="2:14" ht="88.5" customHeight="1">
      <c r="B41" s="154">
        <v>1</v>
      </c>
      <c r="C41" s="173" t="s">
        <v>88</v>
      </c>
      <c r="D41" s="173" t="s">
        <v>88</v>
      </c>
      <c r="E41" s="173" t="s">
        <v>487</v>
      </c>
      <c r="F41" s="265" t="s">
        <v>488</v>
      </c>
      <c r="G41" s="265"/>
      <c r="H41" s="265"/>
      <c r="I41" s="265"/>
      <c r="N41" s="161"/>
    </row>
    <row r="42" spans="2:14" ht="15.6">
      <c r="B42" s="154"/>
      <c r="C42" s="173"/>
      <c r="D42" s="173"/>
      <c r="E42" s="173"/>
      <c r="F42" s="265"/>
      <c r="G42" s="265"/>
      <c r="H42" s="265"/>
      <c r="I42" s="265"/>
      <c r="N42" s="161"/>
    </row>
    <row r="43" spans="2:14" ht="15.6">
      <c r="B43" s="161"/>
      <c r="C43" s="161"/>
      <c r="D43" s="161"/>
      <c r="E43" s="161"/>
      <c r="F43" s="161"/>
      <c r="G43" s="161"/>
      <c r="H43" s="161"/>
      <c r="I43" s="161"/>
      <c r="J43" s="161"/>
      <c r="K43" s="161"/>
      <c r="N43" s="161"/>
    </row>
    <row r="44" spans="2:14" ht="15.6">
      <c r="B44" s="161"/>
      <c r="C44" s="161"/>
      <c r="D44" s="161"/>
      <c r="E44" s="161"/>
      <c r="F44" s="161"/>
      <c r="G44" s="161"/>
      <c r="H44" s="161"/>
      <c r="I44" s="161"/>
      <c r="J44" s="161"/>
      <c r="K44" s="161"/>
    </row>
    <row r="45" spans="2:14" ht="15.6">
      <c r="B45" s="161"/>
      <c r="C45" s="161"/>
      <c r="D45" s="161"/>
      <c r="E45" s="161"/>
      <c r="F45" s="161"/>
      <c r="G45" s="161"/>
      <c r="H45" s="161"/>
      <c r="I45" s="161"/>
      <c r="J45" s="161"/>
      <c r="K45" s="161"/>
    </row>
    <row r="46" spans="2:14" ht="15.6">
      <c r="B46" s="161"/>
      <c r="C46" s="161"/>
      <c r="D46" s="161"/>
      <c r="E46" s="161"/>
      <c r="F46" s="161"/>
      <c r="G46" s="161"/>
      <c r="H46" s="161"/>
      <c r="I46" s="161"/>
      <c r="J46" s="161"/>
      <c r="K46" s="161"/>
    </row>
    <row r="47" spans="2:14" ht="15.6">
      <c r="B47" s="161"/>
      <c r="C47" s="161"/>
      <c r="D47" s="161"/>
      <c r="E47" s="161"/>
      <c r="F47" s="161"/>
      <c r="G47" s="161"/>
      <c r="H47" s="161"/>
      <c r="I47" s="161"/>
      <c r="J47" s="161"/>
      <c r="K47" s="161"/>
    </row>
    <row r="48" spans="2:14" ht="15.6">
      <c r="B48" s="161"/>
      <c r="C48" s="161"/>
      <c r="D48" s="161"/>
      <c r="E48" s="161"/>
      <c r="F48" s="161"/>
      <c r="G48" s="161"/>
      <c r="H48" s="161"/>
      <c r="I48" s="161"/>
      <c r="J48" s="161"/>
      <c r="K48" s="161"/>
    </row>
  </sheetData>
  <mergeCells count="20">
    <mergeCell ref="F35:I35"/>
    <mergeCell ref="F36:I36"/>
    <mergeCell ref="F40:I40"/>
    <mergeCell ref="F41:I41"/>
    <mergeCell ref="F42:I42"/>
    <mergeCell ref="F30:I30"/>
    <mergeCell ref="F31:I31"/>
    <mergeCell ref="F32:I32"/>
    <mergeCell ref="F33:I33"/>
    <mergeCell ref="F34:I34"/>
    <mergeCell ref="D4:I4"/>
    <mergeCell ref="F6:H6"/>
    <mergeCell ref="C8:C11"/>
    <mergeCell ref="F17:H17"/>
    <mergeCell ref="F29:I29"/>
    <mergeCell ref="B1:C3"/>
    <mergeCell ref="D1:G3"/>
    <mergeCell ref="H1:I1"/>
    <mergeCell ref="H2:I2"/>
    <mergeCell ref="H3:I3"/>
  </mergeCells>
  <pageMargins left="0.7" right="0.7" top="0.75" bottom="0.75" header="0.511811023622047" footer="0.511811023622047"/>
  <pageSetup scale="44" orientation="portrait" horizontalDpi="300" verticalDpi="300"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'1. Project Information'!$C$27:$C$35</xm:f>
          </x14:formula1>
          <x14:formula2>
            <xm:f>0</xm:f>
          </x14:formula2>
          <xm:sqref>C19:C26 C30:C36 C41:C42</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6"/>
  <sheetViews>
    <sheetView view="pageBreakPreview" topLeftCell="A4" zoomScale="115" zoomScaleNormal="100" zoomScaleSheetLayoutView="115" zoomScalePageLayoutView="120" workbookViewId="0">
      <selection activeCell="D15" sqref="D15:E15"/>
    </sheetView>
  </sheetViews>
  <sheetFormatPr defaultColWidth="9" defaultRowHeight="12.75" customHeight="1"/>
  <cols>
    <col min="1" max="1" width="2.109375" style="42" customWidth="1"/>
    <col min="2" max="2" width="5.88671875" style="42" customWidth="1"/>
    <col min="3" max="3" width="29.6640625" style="42" customWidth="1"/>
    <col min="4" max="4" width="31.88671875" style="42" customWidth="1"/>
    <col min="5" max="5" width="51.33203125" style="42" customWidth="1"/>
    <col min="6" max="6" width="12.88671875" style="42" customWidth="1"/>
    <col min="7" max="8" width="13.44140625" style="42" customWidth="1"/>
    <col min="9" max="9" width="15.33203125" style="42" customWidth="1"/>
    <col min="10" max="10" width="26.44140625" style="42" customWidth="1"/>
    <col min="11" max="11" width="8.5546875" style="42" customWidth="1"/>
    <col min="12" max="16384" width="9" style="42"/>
  </cols>
  <sheetData>
    <row r="1" spans="1:10" ht="17.25" customHeight="1">
      <c r="A1" s="44" t="s">
        <v>22</v>
      </c>
      <c r="B1" s="213"/>
      <c r="C1" s="213"/>
      <c r="D1" s="214" t="s">
        <v>489</v>
      </c>
      <c r="E1" s="214"/>
      <c r="F1" s="214"/>
      <c r="G1" s="214"/>
      <c r="H1" s="219" t="str">
        <f>'0. Tasklist'!$G$1</f>
        <v>Mã số: BM03-QT-OP-01</v>
      </c>
      <c r="I1" s="219"/>
    </row>
    <row r="2" spans="1:10" ht="17.25" customHeight="1">
      <c r="A2" s="44"/>
      <c r="B2" s="213"/>
      <c r="C2" s="213"/>
      <c r="D2" s="214"/>
      <c r="E2" s="214"/>
      <c r="F2" s="214"/>
      <c r="G2" s="214"/>
      <c r="H2" s="219" t="str">
        <f>'0. Tasklist'!$G$2</f>
        <v>Ngày hiệu lực: 10/09/2025</v>
      </c>
      <c r="I2" s="219"/>
    </row>
    <row r="3" spans="1:10" ht="17.25" customHeight="1">
      <c r="A3" s="44"/>
      <c r="B3" s="213"/>
      <c r="C3" s="213"/>
      <c r="D3" s="214"/>
      <c r="E3" s="214"/>
      <c r="F3" s="214"/>
      <c r="G3" s="214"/>
      <c r="H3" s="219" t="str">
        <f>'0. Tasklist'!$G$3</f>
        <v>Lần ban hành: 02</v>
      </c>
      <c r="I3" s="219"/>
    </row>
    <row r="5" spans="1:10" ht="18" customHeight="1">
      <c r="B5" s="96" t="s">
        <v>490</v>
      </c>
      <c r="C5" s="126"/>
      <c r="D5" s="126"/>
      <c r="E5" s="126"/>
      <c r="F5" s="126"/>
      <c r="G5" s="126"/>
      <c r="H5" s="126"/>
      <c r="I5" s="126"/>
      <c r="J5" s="126"/>
    </row>
    <row r="6" spans="1:10" ht="42" customHeight="1">
      <c r="B6" s="99" t="s">
        <v>34</v>
      </c>
      <c r="C6" s="99" t="s">
        <v>316</v>
      </c>
      <c r="D6" s="254" t="s">
        <v>75</v>
      </c>
      <c r="E6" s="254"/>
      <c r="F6" s="254" t="s">
        <v>38</v>
      </c>
      <c r="G6" s="254"/>
      <c r="H6" s="254"/>
      <c r="I6" s="254"/>
      <c r="J6" s="126"/>
    </row>
    <row r="7" spans="1:10" s="45" customFormat="1" ht="27.75" customHeight="1">
      <c r="B7" s="38">
        <v>1</v>
      </c>
      <c r="C7" s="116" t="s">
        <v>491</v>
      </c>
      <c r="D7" s="266" t="s">
        <v>492</v>
      </c>
      <c r="E7" s="266"/>
      <c r="F7" s="267"/>
      <c r="G7" s="267"/>
      <c r="H7" s="267"/>
      <c r="I7" s="267"/>
      <c r="J7" s="174"/>
    </row>
    <row r="8" spans="1:10" ht="15.6">
      <c r="B8" s="126"/>
      <c r="C8" s="126"/>
      <c r="D8" s="126"/>
      <c r="E8" s="126"/>
      <c r="F8" s="126"/>
      <c r="G8" s="126"/>
      <c r="H8" s="126"/>
      <c r="I8" s="126"/>
      <c r="J8" s="126"/>
    </row>
    <row r="9" spans="1:10" ht="15.6">
      <c r="B9" s="96" t="s">
        <v>493</v>
      </c>
      <c r="C9" s="126"/>
      <c r="D9" s="126"/>
      <c r="E9" s="126"/>
      <c r="F9" s="126"/>
      <c r="G9" s="126"/>
      <c r="H9" s="126"/>
      <c r="I9" s="126"/>
      <c r="J9" s="126"/>
    </row>
    <row r="10" spans="1:10" ht="15" customHeight="1">
      <c r="B10" s="99" t="s">
        <v>34</v>
      </c>
      <c r="C10" s="99" t="s">
        <v>494</v>
      </c>
      <c r="D10" s="254" t="s">
        <v>75</v>
      </c>
      <c r="E10" s="254"/>
      <c r="F10" s="254" t="s">
        <v>38</v>
      </c>
      <c r="G10" s="254"/>
      <c r="H10" s="254"/>
      <c r="I10" s="254"/>
      <c r="J10" s="126"/>
    </row>
    <row r="11" spans="1:10" ht="71.400000000000006" customHeight="1">
      <c r="B11" s="38">
        <v>1</v>
      </c>
      <c r="C11" s="116" t="s">
        <v>495</v>
      </c>
      <c r="D11" s="266" t="s">
        <v>496</v>
      </c>
      <c r="E11" s="266"/>
      <c r="F11" s="267" t="s">
        <v>579</v>
      </c>
      <c r="G11" s="267"/>
      <c r="H11" s="267"/>
      <c r="I11" s="267"/>
      <c r="J11" s="126"/>
    </row>
    <row r="12" spans="1:10" ht="13.5" customHeight="1">
      <c r="B12" s="126"/>
      <c r="C12" s="126"/>
      <c r="D12" s="126"/>
      <c r="E12" s="126"/>
      <c r="F12" s="126"/>
      <c r="G12" s="126"/>
      <c r="H12" s="126"/>
      <c r="I12" s="126"/>
      <c r="J12" s="126"/>
    </row>
    <row r="13" spans="1:10" ht="15.6">
      <c r="B13" s="96" t="s">
        <v>497</v>
      </c>
      <c r="C13" s="126"/>
      <c r="D13" s="126"/>
      <c r="E13" s="126"/>
      <c r="F13" s="126"/>
      <c r="G13" s="126"/>
      <c r="H13" s="126"/>
      <c r="I13" s="126"/>
      <c r="J13" s="126"/>
    </row>
    <row r="14" spans="1:10" ht="15" customHeight="1">
      <c r="B14" s="99" t="s">
        <v>34</v>
      </c>
      <c r="C14" s="99" t="s">
        <v>494</v>
      </c>
      <c r="D14" s="254" t="s">
        <v>75</v>
      </c>
      <c r="E14" s="254"/>
      <c r="F14" s="254" t="s">
        <v>38</v>
      </c>
      <c r="G14" s="254"/>
      <c r="H14" s="254"/>
      <c r="I14" s="254"/>
      <c r="J14" s="126"/>
    </row>
    <row r="15" spans="1:10" ht="48" customHeight="1">
      <c r="B15" s="38">
        <v>1</v>
      </c>
      <c r="C15" s="116" t="s">
        <v>498</v>
      </c>
      <c r="D15" s="266" t="s">
        <v>499</v>
      </c>
      <c r="E15" s="266"/>
      <c r="F15" s="267"/>
      <c r="G15" s="267"/>
      <c r="H15" s="267"/>
      <c r="I15" s="267"/>
      <c r="J15" s="126"/>
    </row>
    <row r="16" spans="1:10" ht="15.6">
      <c r="B16" s="126"/>
      <c r="C16" s="126"/>
      <c r="D16" s="126"/>
      <c r="E16" s="126"/>
      <c r="F16" s="126"/>
      <c r="G16" s="126"/>
      <c r="H16" s="126"/>
      <c r="I16" s="126"/>
      <c r="J16" s="126"/>
    </row>
  </sheetData>
  <mergeCells count="17">
    <mergeCell ref="D11:E11"/>
    <mergeCell ref="F11:I11"/>
    <mergeCell ref="D14:E14"/>
    <mergeCell ref="F14:I14"/>
    <mergeCell ref="D15:E15"/>
    <mergeCell ref="F15:I15"/>
    <mergeCell ref="D6:E6"/>
    <mergeCell ref="F6:I6"/>
    <mergeCell ref="D7:E7"/>
    <mergeCell ref="F7:I7"/>
    <mergeCell ref="D10:E10"/>
    <mergeCell ref="F10:I10"/>
    <mergeCell ref="B1:C3"/>
    <mergeCell ref="D1:G3"/>
    <mergeCell ref="H1:I1"/>
    <mergeCell ref="H2:I2"/>
    <mergeCell ref="H3:I3"/>
  </mergeCells>
  <pageMargins left="0.7" right="0.7" top="0.75" bottom="0.75" header="0.511811023622047" footer="0.511811023622047"/>
  <pageSetup scale="44" orientation="portrait" horizontalDpi="300" verticalDpi="3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2"/>
  <sheetViews>
    <sheetView view="pageBreakPreview" zoomScale="120" zoomScaleNormal="100" zoomScalePageLayoutView="120" workbookViewId="0">
      <selection activeCell="G30" activeCellId="1" sqref="H75:H78 G30"/>
    </sheetView>
  </sheetViews>
  <sheetFormatPr defaultColWidth="8.6640625" defaultRowHeight="14.25" customHeight="1"/>
  <cols>
    <col min="1" max="1" width="4.33203125" customWidth="1"/>
    <col min="3" max="3" width="38.109375" customWidth="1"/>
    <col min="5" max="5" width="5.5546875" customWidth="1"/>
    <col min="6" max="6" width="29.44140625" customWidth="1"/>
    <col min="7" max="7" width="71.44140625" customWidth="1"/>
    <col min="8" max="8" width="7.33203125" customWidth="1"/>
  </cols>
  <sheetData>
    <row r="1" spans="1:6" s="175" customFormat="1" ht="25.8">
      <c r="A1" s="175" t="s">
        <v>500</v>
      </c>
    </row>
    <row r="2" spans="1:6" ht="15.6">
      <c r="A2" s="30" t="s">
        <v>501</v>
      </c>
      <c r="B2" s="30"/>
      <c r="C2" s="30"/>
      <c r="D2" s="30"/>
      <c r="E2" s="30"/>
      <c r="F2" s="30"/>
    </row>
    <row r="3" spans="1:6" s="178" customFormat="1" ht="15.6">
      <c r="A3" s="176" t="s">
        <v>34</v>
      </c>
      <c r="B3" s="176" t="s">
        <v>316</v>
      </c>
      <c r="C3" s="176" t="s">
        <v>75</v>
      </c>
      <c r="D3" s="177"/>
      <c r="E3" s="176" t="s">
        <v>34</v>
      </c>
      <c r="F3" s="100" t="s">
        <v>79</v>
      </c>
    </row>
    <row r="4" spans="1:6" s="178" customFormat="1" ht="15.6">
      <c r="A4" s="129">
        <v>1</v>
      </c>
      <c r="B4" s="179" t="s">
        <v>160</v>
      </c>
      <c r="C4" s="179" t="s">
        <v>502</v>
      </c>
      <c r="D4" s="177"/>
      <c r="E4" s="38">
        <v>1</v>
      </c>
      <c r="F4" s="134" t="s">
        <v>82</v>
      </c>
    </row>
    <row r="5" spans="1:6" s="178" customFormat="1" ht="15.6">
      <c r="A5" s="129">
        <v>2</v>
      </c>
      <c r="B5" s="179" t="s">
        <v>159</v>
      </c>
      <c r="C5" s="179" t="s">
        <v>503</v>
      </c>
      <c r="D5" s="177"/>
      <c r="E5" s="38">
        <v>2</v>
      </c>
      <c r="F5" s="134" t="s">
        <v>84</v>
      </c>
    </row>
    <row r="6" spans="1:6" s="178" customFormat="1" ht="15.6">
      <c r="A6" s="129">
        <v>3</v>
      </c>
      <c r="B6" s="179" t="s">
        <v>161</v>
      </c>
      <c r="C6" s="179" t="s">
        <v>504</v>
      </c>
      <c r="D6" s="177"/>
      <c r="E6" s="38">
        <v>3</v>
      </c>
      <c r="F6" s="134" t="s">
        <v>85</v>
      </c>
    </row>
    <row r="7" spans="1:6" s="178" customFormat="1" ht="15.6">
      <c r="A7" s="129">
        <v>4</v>
      </c>
      <c r="B7" s="179" t="s">
        <v>162</v>
      </c>
      <c r="C7" s="179" t="s">
        <v>505</v>
      </c>
      <c r="D7" s="177"/>
      <c r="E7" s="38">
        <v>4</v>
      </c>
      <c r="F7" s="134" t="s">
        <v>86</v>
      </c>
    </row>
    <row r="8" spans="1:6" s="178" customFormat="1" ht="15.6">
      <c r="A8" s="129">
        <v>5</v>
      </c>
      <c r="B8" s="179" t="s">
        <v>506</v>
      </c>
      <c r="C8" s="179" t="s">
        <v>507</v>
      </c>
      <c r="D8" s="177"/>
      <c r="E8" s="38">
        <v>5</v>
      </c>
      <c r="F8" s="134" t="s">
        <v>87</v>
      </c>
    </row>
    <row r="9" spans="1:6" ht="15.6">
      <c r="A9" s="30"/>
      <c r="B9" s="30"/>
      <c r="C9" s="30"/>
      <c r="D9" s="30"/>
      <c r="E9" s="38">
        <v>6</v>
      </c>
      <c r="F9" s="134" t="s">
        <v>88</v>
      </c>
    </row>
    <row r="10" spans="1:6" ht="15.6">
      <c r="A10" s="30"/>
      <c r="B10" s="30"/>
      <c r="C10" s="30"/>
      <c r="D10" s="30"/>
      <c r="E10" s="38">
        <v>7</v>
      </c>
      <c r="F10" s="134" t="s">
        <v>89</v>
      </c>
    </row>
    <row r="11" spans="1:6" ht="15.6">
      <c r="A11" s="30"/>
      <c r="B11" s="30"/>
      <c r="C11" s="30"/>
      <c r="D11" s="30"/>
      <c r="E11" s="38">
        <v>8</v>
      </c>
      <c r="F11" s="134" t="s">
        <v>90</v>
      </c>
    </row>
    <row r="12" spans="1:6" ht="15.6">
      <c r="A12" s="30"/>
      <c r="B12" s="30"/>
      <c r="C12" s="30"/>
      <c r="D12" s="30"/>
      <c r="E12" s="38">
        <v>9</v>
      </c>
      <c r="F12" s="134" t="s">
        <v>91</v>
      </c>
    </row>
    <row r="13" spans="1:6" ht="15.6">
      <c r="A13" s="30"/>
      <c r="B13" s="30"/>
      <c r="C13" s="30"/>
      <c r="D13" s="30"/>
      <c r="E13" s="38">
        <v>10</v>
      </c>
      <c r="F13" s="134" t="s">
        <v>136</v>
      </c>
    </row>
    <row r="14" spans="1:6" ht="15.6">
      <c r="A14" s="30"/>
      <c r="B14" s="30"/>
      <c r="C14" s="30"/>
      <c r="D14" s="30"/>
      <c r="E14" s="30"/>
      <c r="F14" s="30"/>
    </row>
    <row r="15" spans="1:6" ht="15.6">
      <c r="A15" s="30"/>
      <c r="B15" s="30"/>
      <c r="C15" s="30"/>
      <c r="D15" s="30"/>
      <c r="E15" s="30"/>
      <c r="F15" s="30"/>
    </row>
    <row r="16" spans="1:6" ht="15.6">
      <c r="A16" s="30"/>
      <c r="B16" s="30"/>
      <c r="C16" s="30"/>
      <c r="D16" s="30"/>
      <c r="E16" s="30"/>
      <c r="F16" s="30"/>
    </row>
    <row r="17" spans="1:6" ht="15.6">
      <c r="A17" s="30"/>
      <c r="B17" s="30"/>
      <c r="C17" s="30"/>
      <c r="D17" s="30"/>
      <c r="E17" s="30"/>
      <c r="F17" s="30"/>
    </row>
    <row r="18" spans="1:6" ht="15.6">
      <c r="A18" s="30"/>
      <c r="B18" s="30"/>
      <c r="C18" s="30"/>
      <c r="D18" s="30"/>
      <c r="E18" s="30"/>
      <c r="F18" s="30"/>
    </row>
    <row r="19" spans="1:6" ht="15.6">
      <c r="A19" s="30"/>
      <c r="B19" s="30"/>
      <c r="C19" s="30"/>
      <c r="D19" s="30"/>
      <c r="E19" s="30"/>
      <c r="F19" s="30"/>
    </row>
    <row r="20" spans="1:6" ht="15.6">
      <c r="A20" s="30"/>
      <c r="B20" s="30"/>
      <c r="C20" s="30"/>
      <c r="D20" s="30"/>
      <c r="E20" s="30"/>
      <c r="F20" s="30"/>
    </row>
    <row r="21" spans="1:6" ht="15.6">
      <c r="A21" s="30"/>
      <c r="B21" s="30"/>
      <c r="C21" s="30"/>
      <c r="D21" s="30"/>
      <c r="E21" s="30"/>
      <c r="F21" s="30"/>
    </row>
    <row r="22" spans="1:6" ht="15.6">
      <c r="A22" s="30"/>
      <c r="B22" s="30"/>
      <c r="C22" s="30"/>
      <c r="D22" s="30"/>
      <c r="E22" s="30"/>
      <c r="F22" s="30"/>
    </row>
  </sheetData>
  <pageMargins left="0.7" right="0.7" top="0.75" bottom="0.75" header="0.511811023622047" footer="0.511811023622047"/>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EBEA28B5B57AD46AD4661D86A28AA0A" ma:contentTypeVersion="12" ma:contentTypeDescription="Create a new document." ma:contentTypeScope="" ma:versionID="6caf4058dcaa2e129ebf76a0ddae7d94">
  <xsd:schema xmlns:xsd="http://www.w3.org/2001/XMLSchema" xmlns:xs="http://www.w3.org/2001/XMLSchema" xmlns:p="http://schemas.microsoft.com/office/2006/metadata/properties" xmlns:ns2="39340437-270f-4c07-a970-92bb4189d32e" xmlns:ns3="f0612829-7b1d-4fd3-b80f-7d600b67b7c4" targetNamespace="http://schemas.microsoft.com/office/2006/metadata/properties" ma:root="true" ma:fieldsID="8015f310dabdcb82c234d92511a3149e" ns2:_="" ns3:_="">
    <xsd:import namespace="39340437-270f-4c07-a970-92bb4189d32e"/>
    <xsd:import namespace="f0612829-7b1d-4fd3-b80f-7d600b67b7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340437-270f-4c07-a970-92bb4189d3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9931a68-95a2-4a90-ba23-a52a9e8c7f8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0612829-7b1d-4fd3-b80f-7d600b67b7c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80442fa-93fa-47f0-b3a4-30e074ba82dc}" ma:internalName="TaxCatchAll" ma:showField="CatchAllData" ma:web="f0612829-7b1d-4fd3-b80f-7d600b67b7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DAE6EEE-59FE-4B17-A696-A89E87B199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340437-270f-4c07-a970-92bb4189d32e"/>
    <ds:schemaRef ds:uri="f0612829-7b1d-4fd3-b80f-7d600b67b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77</TotalTime>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Cover</vt:lpstr>
      <vt:lpstr>Page Revision History</vt:lpstr>
      <vt:lpstr>0. Tasklist</vt:lpstr>
      <vt:lpstr>1. Project Information</vt:lpstr>
      <vt:lpstr>2. Role &amp; Team</vt:lpstr>
      <vt:lpstr>3.Configuration Plan</vt:lpstr>
      <vt:lpstr>4. Communication Plan &amp; Tools</vt:lpstr>
      <vt:lpstr>5. Standard Metric</vt:lpstr>
      <vt:lpstr>6. Other plan</vt:lpstr>
      <vt:lpstr>Master</vt:lpstr>
      <vt:lpstr>'0. Tasklist'!Print_Area</vt:lpstr>
      <vt:lpstr>'1. Project Information'!Print_Area</vt:lpstr>
      <vt:lpstr>'2. Role &amp; Team'!Print_Area</vt:lpstr>
      <vt:lpstr>'3.Configuration Plan'!Print_Area</vt:lpstr>
      <vt:lpstr>'4. Communication Plan &amp; Tools'!Print_Area</vt:lpstr>
      <vt:lpstr>'5. Standard Metric'!Print_Area</vt:lpstr>
      <vt:lpstr>'6. Other plan'!Print_Area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phithi kimlien</dc:creator>
  <dc:description/>
  <cp:lastModifiedBy>Duong Nguyen Hoang</cp:lastModifiedBy>
  <cp:revision>11</cp:revision>
  <dcterms:created xsi:type="dcterms:W3CDTF">2021-04-01T02:22:21Z</dcterms:created>
  <dcterms:modified xsi:type="dcterms:W3CDTF">2026-07-17T15:12:15Z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0x0101002EBEA28B5B57AD46AD4661D86A28AA0A</vt:lpwstr>
  </property>
  <property fmtid="{D5CDD505-2E9C-101B-9397-08002B2CF9AE}" pid="4" name="MediaServiceImageTags">
    <vt:lpwstr/>
  </property>
  <property fmtid="{D5CDD505-2E9C-101B-9397-08002B2CF9AE}" pid="5" name="Order">
    <vt:r8>21500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false</vt:bool>
  </property>
</Properties>
</file>