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.xml" ContentType="application/vnd.openxmlformats-officedocument.drawing+xml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4.xml" ContentType="application/vnd.openxmlformats-officedocument.drawing+xml"/>
  <Override PartName="/xl/media/image1.png" ContentType="image/png"/>
  <Override PartName="/xl/media/image2.png" ContentType="image/png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ver" sheetId="1" state="visible" r:id="rId3"/>
    <sheet name="Page Revision History" sheetId="2" state="visible" r:id="rId4"/>
    <sheet name="0. Tasklist" sheetId="3" state="visible" r:id="rId5"/>
    <sheet name="1. Project Information" sheetId="4" state="visible" r:id="rId6"/>
    <sheet name="2. Role &amp; Team" sheetId="5" state="visible" r:id="rId7"/>
    <sheet name="3.Configuration Plan" sheetId="6" state="visible" r:id="rId8"/>
    <sheet name="4. Communication Plan &amp; Tools" sheetId="7" state="visible" r:id="rId9"/>
    <sheet name="5. Standard Metric" sheetId="8" state="visible" r:id="rId10"/>
    <sheet name="6. Other plan" sheetId="9" state="visible" r:id="rId11"/>
    <sheet name="Master" sheetId="10" state="visible" r:id="rId12"/>
  </sheets>
  <definedNames>
    <definedName function="false" hidden="false" localSheetId="2" name="_xlnm.Print_Area" vbProcedure="false">'0. Tasklist'!$A$1:$H$13</definedName>
    <definedName function="false" hidden="false" localSheetId="3" name="_xlnm.Print_Area" vbProcedure="false">'1. Project Information'!$A$1:$G$64</definedName>
    <definedName function="false" hidden="false" localSheetId="4" name="_xlnm.Print_Area" vbProcedure="false">'2. Role &amp; Team'!$A$1:$K$45</definedName>
    <definedName function="false" hidden="false" localSheetId="5" name="_xlnm.Print_Area" vbProcedure="false">'3.Configuration Plan'!$A$1:$H$115</definedName>
    <definedName function="false" hidden="false" localSheetId="6" name="_xlnm.Print_Area" vbProcedure="false">'4. Communication Plan &amp; Tools'!$A$1:$H$46</definedName>
    <definedName function="false" hidden="false" localSheetId="7" name="_xlnm.Print_Area" vbProcedure="false">'5. Standard Metric'!$A$1:$I$43</definedName>
    <definedName function="false" hidden="false" localSheetId="8" name="_xlnm.Print_Area" vbProcedure="false">'6. Other plan'!$A$1:$I$16</definedName>
    <definedName function="false" hidden="false" name="範囲１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tc={00C38DBB-4A2A-41F2-87F9-55BB8FF0EEAD}</author>
  </authors>
  <commentList>
    <comment ref="L1" authorId="0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sửa lại mã số biểu mẫu
Reply:
    @Đào Thị Yến  đã sửa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G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admin</author>
    <author>tc={6485C7D7-7877-4231-97F1-5D28F17844A4}</author>
  </authors>
  <commentList>
    <comment ref="B76" authorId="1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 lấy 2 thông tin yêu cầu bảo mật và dữ liệu cá nhân vào file này
Reply:
    @Đào Thị Yến  đã thêm</t>
        </r>
      </text>
    </commen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F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TrungNT</author>
    <author>admin</author>
  </authors>
  <commentList>
    <comment ref="C21" authorId="0">
      <text>
        <r>
          <rPr>
            <sz val="10"/>
            <rFont val="Calibri"/>
            <family val="2"/>
          </rPr>
          <t xml:space="preserve">TrungNT:</t>
        </r>
        <r>
          <rPr>
            <sz val="9"/>
            <color rgb="FF000000"/>
            <rFont val="Tahoma"/>
            <family val="2"/>
            <charset val="1"/>
          </rPr>
          <t xml:space="preserve"> 
RACI 
R: Responsible (Does the work)
A: Accountable (Final approval)
C: Consulted (Provides input)
I: Informed (Kept updated)
</t>
        </r>
      </text>
    </comment>
    <comment ref="D1" authorId="1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J1" authorId="1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admin</author>
    <author>tc={9B9A94CA-1D22-45FB-B5E4-D0BEBF45B854}</author>
  </authors>
  <commentList>
    <comment ref="C8" authorId="1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@Phạm Ngọc Khánh-BU3 thêm phần tách riêng nội dung folder thông tin dự án, báo giá =&gt; đảm bảo bảo mật
Reply:
    @Đào Thị Yến  đã đối ứng </t>
        </r>
      </text>
    </commen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G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admin</author>
    <author>tc={753C2FD7-C4F6-4E0E-B38E-3D1008BA827E}</author>
    <author>tc={CB98DDDD-51CD-4B51-A65B-DC999554D0AA}</author>
  </authors>
  <commentList>
    <comment ref="C33" authorId="2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bổ sung sample</t>
        </r>
      </text>
    </comment>
    <comment ref="C41" authorId="1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bổ sung sample</t>
        </r>
      </text>
    </commen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G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  <comment ref="H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admin</author>
    <author>tc={B92AC631-7D2F-4271-B38F-76DD855B09F1}</author>
  </authors>
  <commentList>
    <comment ref="C8" authorId="1">
      <text>
        <r>
          <rPr>
            <sz val="10"/>
            <rFont val="Calibri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cần range norm, tần suất, cách thức đo lường</t>
        </r>
      </text>
    </commen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H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D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Size: 20</t>
        </r>
      </text>
    </comment>
    <comment ref="H1" authorId="0">
      <text>
        <r>
          <rPr>
            <sz val="10"/>
            <rFont val="Calibri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Size 12</t>
        </r>
      </text>
    </comment>
  </commentList>
</comments>
</file>

<file path=xl/sharedStrings.xml><?xml version="1.0" encoding="utf-8"?>
<sst xmlns="http://schemas.openxmlformats.org/spreadsheetml/2006/main" count="1034" uniqueCount="556">
  <si>
    <t xml:space="preserve">Cover</t>
  </si>
  <si>
    <t xml:space="preserve">#003e83</t>
  </si>
  <si>
    <t xml:space="preserve">#0085f0</t>
  </si>
  <si>
    <t xml:space="preserve">#2cdcff</t>
  </si>
  <si>
    <t xml:space="preserve">Project Management Plan</t>
  </si>
  <si>
    <t xml:space="preserve">Projec Code</t>
  </si>
  <si>
    <t xml:space="preserve">[Project Code]</t>
  </si>
  <si>
    <t xml:space="preserve">System ID</t>
  </si>
  <si>
    <t xml:space="preserve">[System ID]</t>
  </si>
  <si>
    <t xml:space="preserve">Project Name</t>
  </si>
  <si>
    <t xml:space="preserve">[Project Name]</t>
  </si>
  <si>
    <t xml:space="preserve">System Name</t>
  </si>
  <si>
    <t xml:space="preserve">[System Name]</t>
  </si>
  <si>
    <t xml:space="preserve">Project Manager</t>
  </si>
  <si>
    <t xml:space="preserve">[Project Manager]</t>
  </si>
  <si>
    <t xml:space="preserve">Updated Date</t>
  </si>
  <si>
    <t xml:space="preserve">[Updated Date]</t>
  </si>
  <si>
    <t xml:space="preserve">PM</t>
  </si>
  <si>
    <t xml:space="preserve">BU Review</t>
  </si>
  <si>
    <t xml:space="preserve">Sale review</t>
  </si>
  <si>
    <t xml:space="preserve">Approve</t>
  </si>
  <si>
    <t xml:space="preserve">Name</t>
  </si>
  <si>
    <t xml:space="preserve">[Name of PM]</t>
  </si>
  <si>
    <t xml:space="preserve">[Name of reviewer]</t>
  </si>
  <si>
    <t xml:space="preserve">[Name of approver]</t>
  </si>
  <si>
    <t xml:space="preserve">Role</t>
  </si>
  <si>
    <t xml:space="preserve">BU Leader</t>
  </si>
  <si>
    <t xml:space="preserve">Sale Leader</t>
  </si>
  <si>
    <t xml:space="preserve">[Role of approver]</t>
  </si>
  <si>
    <t xml:space="preserve">Date</t>
  </si>
  <si>
    <t xml:space="preserve">[Created Date]</t>
  </si>
  <si>
    <t xml:space="preserve">[Review Date]</t>
  </si>
  <si>
    <t xml:space="preserve">[Approve date]</t>
  </si>
  <si>
    <t xml:space="preserve">REVISION HISTORY</t>
  </si>
  <si>
    <t xml:space="preserve">Mã số: BM03-QT-OP-01</t>
  </si>
  <si>
    <t xml:space="preserve">Ngày hiệu lực: 10/09/2025</t>
  </si>
  <si>
    <t xml:space="preserve">Lần ban hành: 02</t>
  </si>
  <si>
    <t xml:space="preserve"> </t>
  </si>
  <si>
    <t xml:space="preserve">#</t>
  </si>
  <si>
    <t xml:space="preserve">Last Edited Date</t>
  </si>
  <si>
    <t xml:space="preserve">Change Details</t>
  </si>
  <si>
    <t xml:space="preserve">Reason</t>
  </si>
  <si>
    <t xml:space="preserve">Version</t>
  </si>
  <si>
    <t xml:space="preserve">Creator by</t>
  </si>
  <si>
    <t xml:space="preserve">Approver by</t>
  </si>
  <si>
    <t xml:space="preserve">Remark</t>
  </si>
  <si>
    <t xml:space="preserve">Tạo mới</t>
  </si>
  <si>
    <t xml:space="preserve">1.0</t>
  </si>
  <si>
    <t xml:space="preserve">KhanhPN</t>
  </si>
  <si>
    <t xml:space="preserve">DuyTQ</t>
  </si>
  <si>
    <t xml:space="preserve">Cập nhật phạm vi áp dụng</t>
  </si>
  <si>
    <t xml:space="preserve">Sửa đổi</t>
  </si>
  <si>
    <t xml:space="preserve">2.0</t>
  </si>
  <si>
    <t xml:space="preserve">Project Plan Task List</t>
  </si>
  <si>
    <t xml:space="preserve">No</t>
  </si>
  <si>
    <t xml:space="preserve">Task</t>
  </si>
  <si>
    <t xml:space="preserve">PIC</t>
  </si>
  <si>
    <t xml:space="preserve">Purpose</t>
  </si>
  <si>
    <t xml:space="preserve">Note</t>
  </si>
  <si>
    <t xml:space="preserve">Status</t>
  </si>
  <si>
    <t xml:space="preserve">1. Project Information</t>
  </si>
  <si>
    <t xml:space="preserve">1. Project Information
2. Project Scope
3. Project deliverales
4. Project milestone</t>
  </si>
  <si>
    <t xml:space="preserve">Open</t>
  </si>
  <si>
    <t xml:space="preserve">2. Role &amp; Team</t>
  </si>
  <si>
    <t xml:space="preserve">1. Project Roles
2. Responsibility Matrix (RACI Matrix)
3. Team</t>
  </si>
  <si>
    <t xml:space="preserve">3.Configuration Plan</t>
  </si>
  <si>
    <t xml:space="preserve">1. Folder Configuration/Folder Structure
2. File/Document Configuration
3. Source Code Management
4. Environement Control
5. Other Configuration</t>
  </si>
  <si>
    <t xml:space="preserve">4. Communication Plan &amp; Tools</t>
  </si>
  <si>
    <t xml:space="preserve">1. Meeting Plan
2. Communication plan
3. Comunication Tools
4. Development Tools</t>
  </si>
  <si>
    <t xml:space="preserve">5. Standard Metric</t>
  </si>
  <si>
    <t xml:space="preserve">1. Standard metric
2. Quality metric by Stage
3. Quality Assurance Strategic
3. Non-functional requirements ensuring criteria</t>
  </si>
  <si>
    <t xml:space="preserve">6. Other Plan</t>
  </si>
  <si>
    <t xml:space="preserve">1. Change Management 
2. Risk Management​
3. Resource Allocation Plan</t>
  </si>
  <si>
    <t xml:space="preserve">Chủ yếu refer các tài liệu khác</t>
  </si>
  <si>
    <t xml:space="preserve">Project Information</t>
  </si>
  <si>
    <t xml:space="preserve">Project Code</t>
  </si>
  <si>
    <t xml:space="preserve">[Enter Project Code]</t>
  </si>
  <si>
    <t xml:space="preserve">[Enter Project Manager]</t>
  </si>
  <si>
    <t xml:space="preserve">[Enter Project Name]</t>
  </si>
  <si>
    <t xml:space="preserve">[Enter Updated Date]</t>
  </si>
  <si>
    <t xml:space="preserve">Project Customer</t>
  </si>
  <si>
    <t xml:space="preserve">Customer Code</t>
  </si>
  <si>
    <t xml:space="preserve">Customer Name</t>
  </si>
  <si>
    <t xml:space="preserve">Project Type</t>
  </si>
  <si>
    <t xml:space="preserve">Contract Type</t>
  </si>
  <si>
    <t xml:space="preserve">Fixed Price</t>
  </si>
  <si>
    <t xml:space="preserve">New Development</t>
  </si>
  <si>
    <t xml:space="preserve">Project Period</t>
  </si>
  <si>
    <t xml:space="preserve">Start Date</t>
  </si>
  <si>
    <t xml:space="preserve">YYYY-MM-DD</t>
  </si>
  <si>
    <t xml:space="preserve">End Date</t>
  </si>
  <si>
    <t xml:space="preserve">Project Effort (Man month)</t>
  </si>
  <si>
    <t xml:space="preserve">Budgeted Plan</t>
  </si>
  <si>
    <t xml:space="preserve">Plan Effort </t>
  </si>
  <si>
    <t xml:space="preserve">Project Overview</t>
  </si>
  <si>
    <t xml:space="preserve">Project Situation</t>
  </si>
  <si>
    <t xml:space="preserve">[Mô tả về bối cảnh dự án, các nhu cầu tư đâu mà phát sinh ra dự án.
+ Yêu cầu từ quy trình công việc
+ Yêu cầu từ người dùng cuối hay khách hang của khách hang
+ Yêu câu từ hiệu suất hoặc hiệu quả của hệ thống hiện tại. ]</t>
  </si>
  <si>
    <t xml:space="preserve">Project Product</t>
  </si>
  <si>
    <t xml:space="preserve">[Project product overview:
Mô tả overview về hệ thống hoặc dịch vụ mà dự án sẽ phát triển/triển khai hoặc bàn giao cho khách hàng.
Product description: 
Mô tả về các chức năng chính, các kết quả chính mà sản phẩm hoặc dịch vụ của dự án sẽ bao gồm hoặc sẽ cung cấp. Ví dụ: 
+ Quản lý người dùng
+ Quản lý sản phẩm
+ Quản lý giao dịch
Product technical description: 
Mô tả overview thông số kỹ thuật nếu có về sản phẩm  ]</t>
  </si>
  <si>
    <t xml:space="preserve">Project's Acceptance Criteria</t>
  </si>
  <si>
    <t xml:space="preserve">Criteria</t>
  </si>
  <si>
    <t xml:space="preserve">Description</t>
  </si>
  <si>
    <t xml:space="preserve">Acceptance Criteria</t>
  </si>
  <si>
    <t xml:space="preserve">2. Project Scope</t>
  </si>
  <si>
    <t xml:space="preserve">2.1. Project Stage</t>
  </si>
  <si>
    <t xml:space="preserve">Stage</t>
  </si>
  <si>
    <t xml:space="preserve">Customer</t>
  </si>
  <si>
    <t xml:space="preserve">Internal</t>
  </si>
  <si>
    <t xml:space="preserve">Requirement Gathering</t>
  </si>
  <si>
    <t xml:space="preserve">Yes</t>
  </si>
  <si>
    <t xml:space="preserve">System Analysis</t>
  </si>
  <si>
    <t xml:space="preserve">UI/UX Design</t>
  </si>
  <si>
    <t xml:space="preserve">Architecture Design</t>
  </si>
  <si>
    <t xml:space="preserve">Detail Design</t>
  </si>
  <si>
    <t xml:space="preserve">Coding</t>
  </si>
  <si>
    <t xml:space="preserve">Testing</t>
  </si>
  <si>
    <t xml:space="preserve">Deployment</t>
  </si>
  <si>
    <t xml:space="preserve">Maintenance</t>
  </si>
  <si>
    <t xml:space="preserve">2.2. Project Environment</t>
  </si>
  <si>
    <t xml:space="preserve">Environment</t>
  </si>
  <si>
    <t xml:space="preserve">Yes/No</t>
  </si>
  <si>
    <t xml:space="preserve">Development Environment</t>
  </si>
  <si>
    <t xml:space="preserve">Testing Environment</t>
  </si>
  <si>
    <t xml:space="preserve">Staging Environment</t>
  </si>
  <si>
    <t xml:space="preserve">Production Environment</t>
  </si>
  <si>
    <t xml:space="preserve">2.3. Project Technologies</t>
  </si>
  <si>
    <t xml:space="preserve">Component</t>
  </si>
  <si>
    <t xml:space="preserve">Mobile App</t>
  </si>
  <si>
    <t xml:space="preserve">Flutter vx.y</t>
  </si>
  <si>
    <t xml:space="preserve">Web</t>
  </si>
  <si>
    <t xml:space="preserve">ReactJS vx.y</t>
  </si>
  <si>
    <t xml:space="preserve">Deployment Platform</t>
  </si>
  <si>
    <t xml:space="preserve">Amazon Web service</t>
  </si>
  <si>
    <t xml:space="preserve">3. Project deliverales</t>
  </si>
  <si>
    <t xml:space="preserve">Deliverables</t>
  </si>
  <si>
    <t xml:space="preserve">Deliverables' Acceptance Criteria</t>
  </si>
  <si>
    <t xml:space="preserve">Tài liệu thiết kế hệ thống</t>
  </si>
  <si>
    <t xml:space="preserve">Done</t>
  </si>
  <si>
    <t xml:space="preserve">4. Project milestone</t>
  </si>
  <si>
    <t xml:space="preserve">Milestone</t>
  </si>
  <si>
    <t xml:space="preserve">Plan schedule</t>
  </si>
  <si>
    <t xml:space="preserve">Actual schedule</t>
  </si>
  <si>
    <t xml:space="preserve">[YYYY-MM-DD]-[YYYY-MM-DD]</t>
  </si>
  <si>
    <t xml:space="preserve">4. Project Review Plan/Retro Meeting Plan</t>
  </si>
  <si>
    <t xml:space="preserve">Review Milestone</t>
  </si>
  <si>
    <t xml:space="preserve">  </t>
  </si>
  <si>
    <t xml:space="preserve">5. Yêu cầu bảo mật</t>
  </si>
  <si>
    <t xml:space="preserve">Xác thực người dùng</t>
  </si>
  <si>
    <t xml:space="preserve">Hệ thống phải đảm bảo xác thực người dùng bằng mật khẩu mạnh, OTP hoặc MFA.</t>
  </si>
  <si>
    <t xml:space="preserve">Phân quyền truy cập</t>
  </si>
  <si>
    <t xml:space="preserve">Chỉ người dùng có vai trò phù hợp mới được phép truy cập vào dữ liệu nhạy cảm.</t>
  </si>
  <si>
    <t xml:space="preserve">Mã hóa dữ liệu</t>
  </si>
  <si>
    <t xml:space="preserve">Dữ liệu phải được mã hóa khi lưu trữ (AES-256) và truyền tải (TLS 1.2+).</t>
  </si>
  <si>
    <t xml:space="preserve">Ghi nhật ký (Audit log)</t>
  </si>
  <si>
    <t xml:space="preserve">Ghi lại các hành động quan trọng: đăng nhập, sửa/xóa dữ liệu, phân quyền,...</t>
  </si>
  <si>
    <t xml:space="preserve">Quản lý lỗ hổng</t>
  </si>
  <si>
    <t xml:space="preserve">Thường xuyên rà soát, đánh giá và cập nhật các bản vá bảo mật kịp thời.</t>
  </si>
  <si>
    <t xml:space="preserve">6. Yêu cầu bảo vệ dữ liệu cá nhân</t>
  </si>
  <si>
    <t xml:space="preserve">Dự án có triển khai nội dung liên quan đến việc xử lý dữ liệu cá nhân thì điền vào table bên dưới</t>
  </si>
  <si>
    <t xml:space="preserve">Thu thập tối thiểu (Data Minimization)</t>
  </si>
  <si>
    <t xml:space="preserve">Chỉ thu thập những thông tin cần thiết cho mục đích đã xác định, không dư thừa.</t>
  </si>
  <si>
    <t xml:space="preserve">Mã hóa dữ liệu cá nhân</t>
  </si>
  <si>
    <t xml:space="preserve">Dữ liệu như tên, số điện thoại, CCCD, địa chỉ,… phải được mã hóa hoặc làm ẩn danh (anonymization).</t>
  </si>
  <si>
    <t xml:space="preserve">Chính sách lưu trữ &amp; xóa dữ liệu</t>
  </si>
  <si>
    <t xml:space="preserve">Thiết lập thời gian lưu trữ hợp lý, có cơ chế tự động xóa hoặc yêu cầu xóa theo yêu cầu người dùng.</t>
  </si>
  <si>
    <t xml:space="preserve">Giao diện quản lý quyền riêng tư</t>
  </si>
  <si>
    <t xml:space="preserve">Cho phép người dùng truy cập, chỉnh sửa, hoặc yêu cầu xóa dữ liệu của họ theo luật định.</t>
  </si>
  <si>
    <t xml:space="preserve">Tuân thủ pháp lý</t>
  </si>
  <si>
    <t xml:space="preserve">	Hệ thống cần tuân thủ các quy định như: GDPR, Nghị định 13/2023/NĐ-CP (VN),...</t>
  </si>
  <si>
    <t xml:space="preserve">All</t>
  </si>
  <si>
    <t xml:space="preserve">Role &amp; Team</t>
  </si>
  <si>
    <t xml:space="preserve">1. Project Roles</t>
  </si>
  <si>
    <t xml:space="preserve">Abbreviation</t>
  </si>
  <si>
    <t xml:space="preserve">Type</t>
  </si>
  <si>
    <t xml:space="preserve">Responsibility Description</t>
  </si>
  <si>
    <t xml:space="preserve">[Fill responibilities of this role]</t>
  </si>
  <si>
    <t xml:space="preserve">Solution Architecturer</t>
  </si>
  <si>
    <t xml:space="preserve">SA</t>
  </si>
  <si>
    <t xml:space="preserve">Technical Leader</t>
  </si>
  <si>
    <t xml:space="preserve">TL</t>
  </si>
  <si>
    <t xml:space="preserve">Developer</t>
  </si>
  <si>
    <t xml:space="preserve">DEV</t>
  </si>
  <si>
    <t xml:space="preserve">Tester</t>
  </si>
  <si>
    <t xml:space="preserve">TEST</t>
  </si>
  <si>
    <t xml:space="preserve">Designer</t>
  </si>
  <si>
    <t xml:space="preserve">DESIGNER</t>
  </si>
  <si>
    <t xml:space="preserve">Comtor</t>
  </si>
  <si>
    <t xml:space="preserve">COMTOR</t>
  </si>
  <si>
    <t xml:space="preserve">CUSTOMER</t>
  </si>
  <si>
    <t xml:space="preserve">External</t>
  </si>
  <si>
    <t xml:space="preserve">2. Responsibility Matrix (RACI Matrix)</t>
  </si>
  <si>
    <t xml:space="preserve">Task/Activity</t>
  </si>
  <si>
    <t xml:space="preserve">A</t>
  </si>
  <si>
    <t xml:space="preserve">R</t>
  </si>
  <si>
    <t xml:space="preserve">C</t>
  </si>
  <si>
    <t xml:space="preserve">I</t>
  </si>
  <si>
    <t xml:space="preserve">Test Case</t>
  </si>
  <si>
    <t xml:space="preserve">3. Team</t>
  </si>
  <si>
    <t xml:space="preserve">Email</t>
  </si>
  <si>
    <t xml:space="preserve">Joined Date</t>
  </si>
  <si>
    <t xml:space="preserve">Released Date</t>
  </si>
  <si>
    <t xml:space="preserve">Phone</t>
  </si>
  <si>
    <t xml:space="preserve">Nguyễn Văn A1</t>
  </si>
  <si>
    <t xml:space="preserve">Nguyễn Văn A2</t>
  </si>
  <si>
    <t xml:space="preserve">Nguyễn Văn A3</t>
  </si>
  <si>
    <t xml:space="preserve">Nguyễn Văn A4</t>
  </si>
  <si>
    <t xml:space="preserve">Nguyễn Văn A5</t>
  </si>
  <si>
    <t xml:space="preserve">Nguyễn Văn A6</t>
  </si>
  <si>
    <t xml:space="preserve">Nguyễn Văn A7</t>
  </si>
  <si>
    <t xml:space="preserve">Nguyễn Văn A8</t>
  </si>
  <si>
    <t xml:space="preserve">Nguyễn Văn A9</t>
  </si>
  <si>
    <t xml:space="preserve">Nguyễn Văn A10</t>
  </si>
  <si>
    <t xml:space="preserve">Configuration Plan</t>
  </si>
  <si>
    <t xml:space="preserve">   </t>
  </si>
  <si>
    <t xml:space="preserve">Folder</t>
  </si>
  <si>
    <t xml:space="preserve">Location</t>
  </si>
  <si>
    <t xml:space="preserve">Access Permission</t>
  </si>
  <si>
    <t xml:space="preserve">Location Type
(Teams/NextCloud/ … )</t>
  </si>
  <si>
    <t xml:space="preserve">Link</t>
  </si>
  <si>
    <t xml:space="preserve">Root Folder: [Project Code]</t>
  </si>
  <si>
    <t xml:space="preserve">Project Lead channel in Teams</t>
  </si>
  <si>
    <t xml:space="preserve">/[ProjectCode]</t>
  </si>
  <si>
    <t xml:space="preserve">Teams</t>
  </si>
  <si>
    <t xml:space="preserve">01_Project_Planning</t>
  </si>
  <si>
    <t xml:space="preserve">(Project Open, Contract, Estimation)
BM01, BM02</t>
  </si>
  <si>
    <t xml:space="preserve">Read: BUL, PM, Sales
Write/Modify: BUL, PM, Sales
Delete: BUL, PM, Sales</t>
  </si>
  <si>
    <t xml:space="preserve">Project Team channel in Teams</t>
  </si>
  <si>
    <r>
      <rPr>
        <i val="true"/>
        <sz val="12"/>
        <color rgb="FF000000"/>
        <rFont val="Calibri"/>
        <family val="0"/>
        <charset val="1"/>
      </rPr>
      <t xml:space="preserve">(Project management plan, schedules, risk assessments, project reports)
BM03 , BM04 , BM05, BM07, </t>
    </r>
    <r>
      <rPr>
        <i val="true"/>
        <sz val="12"/>
        <color rgb="FFFF0000"/>
        <rFont val="Calibri"/>
        <family val="0"/>
        <charset val="1"/>
      </rPr>
      <t xml:space="preserve">BM09, BM10, BM12,BM32, BM33</t>
    </r>
  </si>
  <si>
    <t xml:space="preserve">/[ProjectCode]/01_Project_Planning</t>
  </si>
  <si>
    <t xml:space="preserve">Read: All members
Write/Modify: PM, TL
Delete: PM</t>
  </si>
  <si>
    <r>
      <rPr>
        <i val="true"/>
        <sz val="12"/>
        <color theme="1"/>
        <rFont val="Calibri"/>
        <family val="2"/>
        <charset val="1"/>
      </rPr>
      <t xml:space="preserve">02_Requirements</t>
    </r>
    <r>
      <rPr>
        <sz val="12"/>
        <color theme="1"/>
        <rFont val="Calibri"/>
        <family val="2"/>
        <charset val="1"/>
      </rPr>
      <t xml:space="preserve"> </t>
    </r>
  </si>
  <si>
    <r>
      <rPr>
        <i val="true"/>
        <sz val="12"/>
        <color rgb="FF000000"/>
        <rFont val="Calibri"/>
        <family val="2"/>
        <charset val="1"/>
      </rPr>
      <t xml:space="preserve">(Business and technical requirements, change requests)
BM06, BM13, BM14, BM15, </t>
    </r>
    <r>
      <rPr>
        <i val="true"/>
        <sz val="12"/>
        <color rgb="FFFF0000"/>
        <rFont val="Calibri"/>
        <family val="2"/>
        <charset val="1"/>
      </rPr>
      <t xml:space="preserve">BM34</t>
    </r>
  </si>
  <si>
    <t xml:space="preserve">/[ProjectCode]/02_Requirements </t>
  </si>
  <si>
    <r>
      <rPr>
        <i val="true"/>
        <sz val="12"/>
        <color theme="1"/>
        <rFont val="Calibri"/>
        <family val="2"/>
        <charset val="1"/>
      </rPr>
      <t xml:space="preserve">03_Design</t>
    </r>
    <r>
      <rPr>
        <sz val="12"/>
        <color theme="1"/>
        <rFont val="Calibri"/>
        <family val="2"/>
        <charset val="1"/>
      </rPr>
      <t xml:space="preserve"> </t>
    </r>
  </si>
  <si>
    <t xml:space="preserve">(Wireframes, architecture diagrams, UI/UX design, detail design)
BM18, BM19, BM20, BM21, BM22, BM23</t>
  </si>
  <si>
    <t xml:space="preserve">/[ProjectCode]/03_Design </t>
  </si>
  <si>
    <t xml:space="preserve">Read: All members
Write/Modify: PM, TL, Designer
Delete: PM</t>
  </si>
  <si>
    <r>
      <rPr>
        <i val="true"/>
        <sz val="12"/>
        <color theme="1"/>
        <rFont val="Calibri"/>
        <family val="2"/>
        <charset val="1"/>
      </rPr>
      <t xml:space="preserve">04_Development</t>
    </r>
    <r>
      <rPr>
        <sz val="12"/>
        <color theme="1"/>
        <rFont val="Calibri"/>
        <family val="2"/>
        <charset val="1"/>
      </rPr>
      <t xml:space="preserve"> </t>
    </r>
  </si>
  <si>
    <t xml:space="preserve">(Source code, scripts, database schemas)
BM24</t>
  </si>
  <si>
    <t xml:space="preserve">/[ProjectCode]/04_Development </t>
  </si>
  <si>
    <t xml:space="preserve">Read: All members
Write/Modify: PM, TL, Developer
Delete: PM</t>
  </si>
  <si>
    <r>
      <rPr>
        <i val="true"/>
        <sz val="12"/>
        <color theme="1"/>
        <rFont val="Calibri"/>
        <family val="2"/>
        <charset val="1"/>
      </rPr>
      <t xml:space="preserve">05_Testing</t>
    </r>
    <r>
      <rPr>
        <sz val="12"/>
        <color theme="1"/>
        <rFont val="Calibri"/>
        <family val="2"/>
        <charset val="1"/>
      </rPr>
      <t xml:space="preserve"> </t>
    </r>
  </si>
  <si>
    <t xml:space="preserve">(Test cases, Test results, Test report)
BM26, BM27, BM28, BM29</t>
  </si>
  <si>
    <t xml:space="preserve">/[ProjectCode]/05_Testing </t>
  </si>
  <si>
    <t xml:space="preserve">Read: All members
Write/Modify: PM, TL, Tester
Delete: PM</t>
  </si>
  <si>
    <r>
      <rPr>
        <i val="true"/>
        <sz val="12"/>
        <color theme="1"/>
        <rFont val="Calibri"/>
        <family val="2"/>
        <charset val="1"/>
      </rPr>
      <t xml:space="preserve">06_Deployment</t>
    </r>
    <r>
      <rPr>
        <sz val="12"/>
        <color theme="1"/>
        <rFont val="Calibri"/>
        <family val="2"/>
        <charset val="1"/>
      </rPr>
      <t xml:space="preserve"> </t>
    </r>
  </si>
  <si>
    <t xml:space="preserve">(Release notes, deployment scripts, rollback plans)
BM30, BM31</t>
  </si>
  <si>
    <t xml:space="preserve">/[ProjectCode]/06_Deployment </t>
  </si>
  <si>
    <r>
      <rPr>
        <i val="true"/>
        <sz val="12"/>
        <color theme="1"/>
        <rFont val="Calibri"/>
        <family val="2"/>
        <charset val="1"/>
      </rPr>
      <t xml:space="preserve">07_Documentation</t>
    </r>
    <r>
      <rPr>
        <sz val="12"/>
        <color theme="1"/>
        <rFont val="Calibri"/>
        <family val="2"/>
        <charset val="1"/>
      </rPr>
      <t xml:space="preserve"> </t>
    </r>
  </si>
  <si>
    <t xml:space="preserve">(User manuals, training guides, FAQs and project templates)</t>
  </si>
  <si>
    <t xml:space="preserve">/[ProjectCode]/07_Documentation </t>
  </si>
  <si>
    <t xml:space="preserve">Read: All members
Write/Modify: All members
Delete: PM</t>
  </si>
  <si>
    <r>
      <rPr>
        <i val="true"/>
        <sz val="12"/>
        <color theme="1"/>
        <rFont val="Calibri"/>
        <family val="2"/>
        <charset val="1"/>
      </rPr>
      <t xml:space="preserve">08_Communication</t>
    </r>
    <r>
      <rPr>
        <sz val="12"/>
        <color theme="1"/>
        <rFont val="Calibri"/>
        <family val="2"/>
        <charset val="1"/>
      </rPr>
      <t xml:space="preserve"> </t>
    </r>
  </si>
  <si>
    <t xml:space="preserve">(Meeting minutes, emails, stakeholder reports)
BM08</t>
  </si>
  <si>
    <t xml:space="preserve">/[ProjectCode]/08_Communication </t>
  </si>
  <si>
    <r>
      <rPr>
        <i val="true"/>
        <sz val="12"/>
        <color theme="1"/>
        <rFont val="Calibri"/>
        <family val="2"/>
        <charset val="1"/>
      </rPr>
      <t xml:space="preserve">09_Backups</t>
    </r>
    <r>
      <rPr>
        <sz val="12"/>
        <color theme="1"/>
        <rFont val="Calibri"/>
        <family val="2"/>
        <charset val="1"/>
      </rPr>
      <t xml:space="preserve"> </t>
    </r>
  </si>
  <si>
    <t xml:space="preserve">(Versioned backups, recovery plans)</t>
  </si>
  <si>
    <t xml:space="preserve">/[ProjectCode]/09_Backups </t>
  </si>
  <si>
    <t xml:space="preserve">10_CustomerSupplied</t>
  </si>
  <si>
    <t xml:space="preserve">(All materials provided by Customer)</t>
  </si>
  <si>
    <t xml:space="preserve">/[ProjectCode]/10_CustomerSupplied</t>
  </si>
  <si>
    <t xml:space="preserve">Read: All members
Write/Modify: PM, TL, Tester, Developer
Delete: PM</t>
  </si>
  <si>
    <t xml:space="preserve">11_PQA</t>
  </si>
  <si>
    <t xml:space="preserve">/[ProjectCode]/11_PQA</t>
  </si>
  <si>
    <t xml:space="preserve">Read: All members
Write/Modify: PM, PQA
Delete: PQA</t>
  </si>
  <si>
    <t xml:space="preserve">2. File/Document Configuration</t>
  </si>
  <si>
    <t xml:space="preserve">File</t>
  </si>
  <si>
    <t xml:space="preserve">Folder Location</t>
  </si>
  <si>
    <t xml:space="preserve">File Name Format</t>
  </si>
  <si>
    <t xml:space="preserve">Template Path </t>
  </si>
  <si>
    <t xml:space="preserve">/[Project Code]/03_Design/AD/v[x.y]/</t>
  </si>
  <si>
    <t xml:space="preserve">NWS_[ProjectCode]_AD_v[x.y]</t>
  </si>
  <si>
    <t xml:space="preserve">/[Project Code]/07_Documentation/Templates/NWS_AD_v1.0</t>
  </si>
  <si>
    <t xml:space="preserve">x: major version, y: minor version</t>
  </si>
  <si>
    <t xml:space="preserve">/[Project Code]/03_Design/DD/v[x.y]/</t>
  </si>
  <si>
    <t xml:space="preserve">NWS_[ProjectCode]_[FunctionID]_DD_v[x.y]</t>
  </si>
  <si>
    <t xml:space="preserve">/[Project Code]/07_Documentation/Templates/NWS_DD_v1.0</t>
  </si>
  <si>
    <t xml:space="preserve">/[Project Code]/05_Testing/[Stage]/[FunctionID]</t>
  </si>
  <si>
    <t xml:space="preserve">NWS_[ProjectCode]_[FunctionID]_TestCase_v[x.y]</t>
  </si>
  <si>
    <t xml:space="preserve">/[Project Code]/07_Documentation/Templates/NWS_TestCase_v1.0</t>
  </si>
  <si>
    <t xml:space="preserve">Test Result</t>
  </si>
  <si>
    <t xml:space="preserve">NWS_[ProjectCode]_[FunctionID]_TestResult_v[x.y]</t>
  </si>
  <si>
    <t xml:space="preserve">/[Project Code]/07_Documentation/Templates/NWS_TestResult_v1.0</t>
  </si>
  <si>
    <t xml:space="preserve">Test Report</t>
  </si>
  <si>
    <t xml:space="preserve">/[Project Code]/05_Testing/[Stage]/</t>
  </si>
  <si>
    <t xml:space="preserve">NWS_[ProjectCode]_[Stage]_TestReport_v[x.y]</t>
  </si>
  <si>
    <t xml:space="preserve">/[Project Code]/07_Documentation/Templates/NWS_TestReport_v1.0</t>
  </si>
  <si>
    <t xml:space="preserve">+ Stage: UT/IT/ST/UAT
</t>
  </si>
  <si>
    <t xml:space="preserve">… </t>
  </si>
  <si>
    <t xml:space="preserve">3. Source Code Management</t>
  </si>
  <si>
    <t xml:space="preserve">3.1. Branch management</t>
  </si>
  <si>
    <t xml:space="preserve">Branch</t>
  </si>
  <si>
    <t xml:space="preserve">Content Format</t>
  </si>
  <si>
    <t xml:space="preserve">main</t>
  </si>
  <si>
    <t xml:space="preserve">chứa phiên bản stable đã release.</t>
  </si>
  <si>
    <t xml:space="preserve">develop</t>
  </si>
  <si>
    <t xml:space="preserve">code tích hợp từ dev, chuẩn bị build.</t>
  </si>
  <si>
    <t xml:space="preserve">develop/[feature-id]</t>
  </si>
  <si>
    <t xml:space="preserve">feature</t>
  </si>
  <si>
    <t xml:space="preserve">mỗi tính năng mới.</t>
  </si>
  <si>
    <t xml:space="preserve">hotfix</t>
  </si>
  <si>
    <t xml:space="preserve">xử lý lỗi khẩn cấp.</t>
  </si>
  <si>
    <t xml:space="preserve">3.2. Source code management (Pull request, code review &amp; tagging)</t>
  </si>
  <si>
    <t xml:space="preserve">Activity</t>
  </si>
  <si>
    <t xml:space="preserve">Hệ thống quản lý mã nguồn</t>
  </si>
  <si>
    <t xml:space="preserve">GitLab / GitHub / Bitbucket</t>
  </si>
  <si>
    <t xml:space="preserve">Nhánh chính</t>
  </si>
  <si>
    <t xml:space="preserve">main, develop, release/* (tùy Git flow)</t>
  </si>
  <si>
    <t xml:space="preserve">Chiến lược nhánh</t>
  </si>
  <si>
    <t xml:space="preserve">Git Flow / Feature branching / Trunk-based</t>
  </si>
  <si>
    <t xml:space="preserve">Quy trình Pull Request</t>
  </si>
  <si>
    <t xml:space="preserve">- Feature branch → Merge vào develop
- Phải có ít nhất 1 code reviewer chấp thuận</t>
  </si>
  <si>
    <t xml:space="preserve">Code Review Rules</t>
  </si>
  <si>
    <t xml:space="preserve">- Review theo checklist (naming, logic, performance...)
- Không Merge nếu có comment chưa resolved</t>
  </si>
  <si>
    <t xml:space="preserve">Tagging / Versioning</t>
  </si>
  <si>
    <t xml:space="preserve">- Theo Semantic Versioning: v1.0.0, v1.1.2
- Tag khi chuẩn bị release hoặc sau khi pass UAT</t>
  </si>
  <si>
    <t xml:space="preserve">3.3. Source code's Build management</t>
  </si>
  <si>
    <t xml:space="preserve">Công cụ build</t>
  </si>
  <si>
    <t xml:space="preserve">Maven / Gradle / npm / Webpack / Docker build…</t>
  </si>
  <si>
    <t xml:space="preserve">Công cụ CI/CD</t>
  </si>
  <si>
    <t xml:space="preserve">GitLab CI, Jenkins, GitHub Actions…</t>
  </si>
  <si>
    <t xml:space="preserve">Trigger build</t>
  </si>
  <si>
    <t xml:space="preserve">- Tự động khi push/Merge vào develop / main
- Thủ công nếu là bản release</t>
  </si>
  <si>
    <t xml:space="preserve">Quy trình build</t>
  </si>
  <si>
    <t xml:space="preserve">1. Pull source → 2. Build → 3. Run tests → 4. Package artifact (ZIP, Docker image…)</t>
  </si>
  <si>
    <t xml:space="preserve">Build environments</t>
  </si>
  <si>
    <t xml:space="preserve">dev / staging / production</t>
  </si>
  <si>
    <t xml:space="preserve">Kiểm soát thất bại build</t>
  </si>
  <si>
    <t xml:space="preserve">Notify trên Slack / Email + Không cho phép merge nếu build fail</t>
  </si>
  <si>
    <t xml:space="preserve">3.4. Source code's Deployment management</t>
  </si>
  <si>
    <t xml:space="preserve">Môi trường triển khai</t>
  </si>
  <si>
    <t xml:space="preserve">- Dev: auto deploy từ develop
- Staging: deploy từ bản build có tag release-*
- Production: deploy thủ công / approve bởi PM</t>
  </si>
  <si>
    <t xml:space="preserve">Công cụ triển khai</t>
  </si>
  <si>
    <t xml:space="preserve">- Docker Compose / Kubernetes / AWS ECS
- Ansible / Terraform (nếu hạ tầng Tự động)</t>
  </si>
  <si>
    <t xml:space="preserve">Chiến lược triển khai</t>
  </si>
  <si>
    <t xml:space="preserve">Rolling Update / Blue-Green / Canary</t>
  </si>
  <si>
    <t xml:space="preserve">Tự động hay thủ công</t>
  </si>
  <si>
    <t xml:space="preserve">- Tự động: CI/CD pipeline deploy đến Dev
- Thủ công: Prod deploy Phải có approval</t>
  </si>
  <si>
    <t xml:space="preserve">Kế hoạch rollback </t>
  </si>
  <si>
    <t xml:space="preserve">- Giữ lại 2 bản gần nhất
- Rollback bằng tag version hoặc backup</t>
  </si>
  <si>
    <t xml:space="preserve">Quản lý biến môi trường</t>
  </si>
  <si>
    <t xml:space="preserve">- .env file, Secret Manager (AWS, Vault…)
- Không commit biến nhạy cảm vào Git</t>
  </si>
  <si>
    <t xml:space="preserve">4. Environement Control</t>
  </si>
  <si>
    <t xml:space="preserve">4.1. Environment Control</t>
  </si>
  <si>
    <t xml:space="preserve">Enviroment</t>
  </si>
  <si>
    <t xml:space="preserve">Location/IP </t>
  </si>
  <si>
    <t xml:space="preserve">Môi trường lập trình, chứa mã nguồn, dữ liệu giả, không quan trọng</t>
  </si>
  <si>
    <t xml:space="preserve">192.168.10.10 / dev.local</t>
  </si>
  <si>
    <t xml:space="preserve">Chỉ Developer, không truy cập từ bên ngoài</t>
  </si>
  <si>
    <t xml:space="preserve">Nguyễn Văn A (Lead Developer)</t>
  </si>
  <si>
    <t xml:space="preserve">Test Environment</t>
  </si>
  <si>
    <t xml:space="preserve">Môi trường kiểm thử tính năng, dữ liệu gần thật nhưng không nhạy cảm</t>
  </si>
  <si>
    <t xml:space="preserve">192.168.20.20 / test.local</t>
  </si>
  <si>
    <t xml:space="preserve">Developer, Tester (QA), không cho khách hàng</t>
  </si>
  <si>
    <t xml:space="preserve">Trần Thị B (QA Leader)</t>
  </si>
  <si>
    <t xml:space="preserve">Môi trường staging giả lập production, dùng kiểm tra cuối cùng</t>
  </si>
  <si>
    <t xml:space="preserve">192.168.30.30 / staging.local</t>
  </si>
  <si>
    <t xml:space="preserve">PM, QA Leader, Dev Leader, kiểm soát chặt chẽ</t>
  </si>
  <si>
    <t xml:space="preserve">Lê Văn C (PM)</t>
  </si>
  <si>
    <t xml:space="preserve">Môi trường chính, chứa dữ liệu thật, dịch vụ đang chạy</t>
  </si>
  <si>
    <t xml:space="preserve">203.113.xxx.xxx / prod.domain</t>
  </si>
  <si>
    <t xml:space="preserve">Chỉ SysAdmin, có 2FA, audit log đầy đủ</t>
  </si>
  <si>
    <t xml:space="preserve">Phạm Thị D (Infra Manager)</t>
  </si>
  <si>
    <t xml:space="preserve">4.2. Environment Requirement</t>
  </si>
  <si>
    <t xml:space="preserve">Item</t>
  </si>
  <si>
    <t xml:space="preserve">Feature</t>
  </si>
  <si>
    <t xml:space="preserve">Environment Link</t>
  </si>
  <si>
    <t xml:space="preserve">Server</t>
  </si>
  <si>
    <t xml:space="preserve">OS</t>
  </si>
  <si>
    <t xml:space="preserve">Windows 10 x64 </t>
  </si>
  <si>
    <t xml:space="preserve">Database</t>
  </si>
  <si>
    <t xml:space="preserve">MySQL server 7.0</t>
  </si>
  <si>
    <t xml:space="preserve">Development Language</t>
  </si>
  <si>
    <t xml:space="preserve">PHP: 7.4</t>
  </si>
  <si>
    <t xml:space="preserve">Client</t>
  </si>
  <si>
    <t xml:space="preserve">Windows 10 x64</t>
  </si>
  <si>
    <t xml:space="preserve">Mobile Device</t>
  </si>
  <si>
    <t xml:space="preserve">Mobile OS</t>
  </si>
  <si>
    <t xml:space="preserve">iOS xx.x</t>
  </si>
  <si>
    <t xml:space="preserve">Browser</t>
  </si>
  <si>
    <t xml:space="preserve">Mobile: iPhone 14 
Chrome 12.x, Safari 17.x</t>
  </si>
  <si>
    <t xml:space="preserve">5. Other Configuration</t>
  </si>
  <si>
    <t xml:space="preserve">Standard Setting</t>
  </si>
  <si>
    <t xml:space="preserve">Log Management</t>
  </si>
  <si>
    <t xml:space="preserve">Cấu hình hệ thống ghi log ứng dụng, hệ thống và audit log</t>
  </si>
  <si>
    <t xml:space="preserve">Log lưu 90 ngày, phân quyền truy cập log rõ ràng</t>
  </si>
  <si>
    <t xml:space="preserve">Phân biệt log application và OS</t>
  </si>
  <si>
    <t xml:space="preserve">Time Synchronization (NTP)</t>
  </si>
  <si>
    <t xml:space="preserve">Đồng bộ thời gian hệ thống với NTP server</t>
  </si>
  <si>
    <t xml:space="preserve">Sử dụng NTP nội bộ hoặc ntp.vnpt.vn</t>
  </si>
  <si>
    <t xml:space="preserve">Quan trọng để kiểm tra log chính xác</t>
  </si>
  <si>
    <t xml:space="preserve">Password Policy</t>
  </si>
  <si>
    <t xml:space="preserve">Quy định đặt mật khẩu trên hệ thống, source repo, dịch vụ CI/CD	</t>
  </si>
  <si>
    <t xml:space="preserve">8+ ký tự, có số, chữ hoa, đặc biệt	</t>
  </si>
  <si>
    <t xml:space="preserve">Rotation mỗi 90 ngày</t>
  </si>
  <si>
    <t xml:space="preserve">Firewall/Port Management</t>
  </si>
  <si>
    <t xml:space="preserve">Danh sách port mở, dịch vụ nào được phép kết nối</t>
  </si>
  <si>
    <t xml:space="preserve">Chỉ cho phép 80/443/22 từ IP cụ thể</t>
  </si>
  <si>
    <t xml:space="preserve">Kiểm tra mỗi quý</t>
  </si>
  <si>
    <t xml:space="preserve">API Key/Token Management</t>
  </si>
  <si>
    <t xml:space="preserve">Quản lý các API key hoặc access token liên quan đến hệ thống</t>
  </si>
  <si>
    <t xml:space="preserve">Không lưu hard-code trong source	</t>
  </si>
  <si>
    <t xml:space="preserve">Lưu qua môi trường (.env, secret manager)</t>
  </si>
  <si>
    <t xml:space="preserve">Communication Plan &amp; Tools</t>
  </si>
  <si>
    <t xml:space="preserve">1. Meeting Plan</t>
  </si>
  <si>
    <t xml:space="preserve">Meeting Type</t>
  </si>
  <si>
    <t xml:space="preserve">Method</t>
  </si>
  <si>
    <t xml:space="preserve">Frequently</t>
  </si>
  <si>
    <t xml:space="preserve">Goal/Content</t>
  </si>
  <si>
    <t xml:space="preserve">Facilitator</t>
  </si>
  <si>
    <t xml:space="preserve">Time</t>
  </si>
  <si>
    <t xml:space="preserve">Kick-off meeting</t>
  </si>
  <si>
    <t xml:space="preserve">Meeting</t>
  </si>
  <si>
    <t xml:space="preserve">Start Project</t>
  </si>
  <si>
    <t xml:space="preserve">TBD</t>
  </si>
  <si>
    <t xml:space="preserve">Daily meeting</t>
  </si>
  <si>
    <t xml:space="preserve">Daily</t>
  </si>
  <si>
    <t xml:space="preserve">Daily report</t>
  </si>
  <si>
    <t xml:space="preserve">Chat (Teams)</t>
  </si>
  <si>
    <t xml:space="preserve">Trao đổi nội bộ</t>
  </si>
  <si>
    <t xml:space="preserve">Real-time</t>
  </si>
  <si>
    <t xml:space="preserve">Team</t>
  </si>
  <si>
    <t xml:space="preserve">Grooming &amp; Planing</t>
  </si>
  <si>
    <t xml:space="preserve">Start sprint</t>
  </si>
  <si>
    <t xml:space="preserve">Review &amp; Retrospective</t>
  </si>
  <si>
    <t xml:space="preserve">End sprint</t>
  </si>
  <si>
    <t xml:space="preserve">Internal Demo</t>
  </si>
  <si>
    <t xml:space="preserve">2. Communication plan</t>
  </si>
  <si>
    <t xml:space="preserve">Communication Type</t>
  </si>
  <si>
    <t xml:space="preserve">Weekly Report</t>
  </si>
  <si>
    <t xml:space="preserve">File </t>
  </si>
  <si>
    <t xml:space="preserve">Weekly</t>
  </si>
  <si>
    <t xml:space="preserve">Issue Report</t>
  </si>
  <si>
    <t xml:space="preserve">Irregular, TBD</t>
  </si>
  <si>
    <t xml:space="preserve">Liên lạc </t>
  </si>
  <si>
    <t xml:space="preserve">Trao đổi Q&amp;A</t>
  </si>
  <si>
    <t xml:space="preserve">Google Docs</t>
  </si>
  <si>
    <t xml:space="preserve">3. Comunication Tools</t>
  </si>
  <si>
    <t xml:space="preserve">Tools</t>
  </si>
  <si>
    <t xml:space="preserve">Security &amp; Compliance requirements</t>
  </si>
  <si>
    <t xml:space="preserve">4. Tools</t>
  </si>
  <si>
    <t xml:space="preserve">Project Metric</t>
  </si>
  <si>
    <t xml:space="preserve">1. Project Standard Metric</t>
  </si>
  <si>
    <t xml:space="preserve">Target</t>
  </si>
  <si>
    <t xml:space="preserve">Result tracking</t>
  </si>
  <si>
    <t xml:space="preserve">Category</t>
  </si>
  <si>
    <t xml:space="preserve">Metric</t>
  </si>
  <si>
    <t xml:space="preserve">Unit</t>
  </si>
  <si>
    <t xml:space="preserve">  LSL  </t>
  </si>
  <si>
    <t xml:space="preserve">Average</t>
  </si>
  <si>
    <t xml:space="preserve">  USL  </t>
  </si>
  <si>
    <t xml:space="preserve">Objectives</t>
  </si>
  <si>
    <t xml:space="preserve">Formula</t>
  </si>
  <si>
    <t xml:space="preserve">When</t>
  </si>
  <si>
    <t xml:space="preserve">Quality</t>
  </si>
  <si>
    <t xml:space="preserve">Customer Satisfaction</t>
  </si>
  <si>
    <t xml:space="preserve">Point</t>
  </si>
  <si>
    <t xml:space="preserve">Đánh giá mức độ đáp ứng yêu cầu của khách hàng</t>
  </si>
  <si>
    <t xml:space="preserve">Tổng điểm trong phiếu khảo sát khách hàng từng lần/ kết thúc dự án</t>
  </si>
  <si>
    <t xml:space="preserve">Fixed Prices: Close Project
Labo : 2 tuần/lần</t>
  </si>
  <si>
    <t xml:space="preserve">Leakage</t>
  </si>
  <si>
    <t xml:space="preserve">No.Def/MM</t>
  </si>
  <si>
    <t xml:space="preserve">Đo chất lượng sản phẩm/dịch vụ sau khi bàn giao (User Acceptance Test)</t>
  </si>
  <si>
    <t xml:space="preserve">– Số lỗi phát hiện sau bàn giao / Kích thước dự án </t>
  </si>
  <si>
    <t xml:space="preserve">End phase/ Close project</t>
  </si>
  <si>
    <t xml:space="preserve">Defect rate (Coding)</t>
  </si>
  <si>
    <t xml:space="preserve">Đánh giá chất lượng toàn bộ sản phẩm dự án</t>
  </si>
  <si>
    <t xml:space="preserve">– Tổng số lỗi (Code review + Peer review+
Unit test)/ Kích thước dự án </t>
  </si>
  <si>
    <t xml:space="preserve">Fixed Prices: Milestone/End phase /Close project
Labo: Monthly/End phase /Close project</t>
  </si>
  <si>
    <t xml:space="preserve">Defect rate (Testing)</t>
  </si>
  <si>
    <t xml:space="preserve">– Tổng số lỗi (System Test + Integration Test + Regression Test) / Kích thước dự án </t>
  </si>
  <si>
    <t xml:space="preserve">Cost</t>
  </si>
  <si>
    <t xml:space="preserve">Effort Efficiency</t>
  </si>
  <si>
    <t xml:space="preserve">%</t>
  </si>
  <si>
    <t xml:space="preserve">Đo lường hiệu suất sử dụng nguồn lực dự án</t>
  </si>
  <si>
    <t xml:space="preserve">= (Plan MM / Actual effort ) * 100</t>
  </si>
  <si>
    <t xml:space="preserve">Monthly/Close phase/Close project</t>
  </si>
  <si>
    <t xml:space="preserve">Delivery</t>
  </si>
  <si>
    <t xml:space="preserve">Timeliness</t>
  </si>
  <si>
    <t xml:space="preserve">Đánh giá thời gian giao hàng đúng hạn</t>
  </si>
  <si>
    <t xml:space="preserve">= (Tổng thời gian giao đúng hạn / Tổng thời gian dự án cần giao tới khách hàng đến thời điểm báo cáo) × 100</t>
  </si>
  <si>
    <t xml:space="preserve">Process</t>
  </si>
  <si>
    <t xml:space="preserve">Process Compliance</t>
  </si>
  <si>
    <t xml:space="preserve">Đánh giá mức độ tuân thủ chuẩn/quy trình/quy định</t>
  </si>
  <si>
    <t xml:space="preserve">= SUMPRODUCT(checked items,assessment results)/SUM(checked items). </t>
  </si>
  <si>
    <t xml:space="preserve">Labo: Monthly, Close phase/ project
Fixed Prices: Milestone, Close phase/ project</t>
  </si>
  <si>
    <t xml:space="preserve">2. Quality metric by Stage</t>
  </si>
  <si>
    <t xml:space="preserve">Target Result</t>
  </si>
  <si>
    <t xml:space="preserve">Description/ Calculation Formula</t>
  </si>
  <si>
    <t xml:space="preserve">Min value</t>
  </si>
  <si>
    <t xml:space="preserve">Norm value</t>
  </si>
  <si>
    <t xml:space="preserve">Max value</t>
  </si>
  <si>
    <t xml:space="preserve">Comment rate for Basic Design</t>
  </si>
  <si>
    <t xml:space="preserve">Số comment/10 pages</t>
  </si>
  <si>
    <t xml:space="preserve">Đánh giá mức độ đáp ứng yêu cầu của khách hàng cho tài liệu thiết kế kiến trúc</t>
  </si>
  <si>
    <t xml:space="preserve">	Đếm tổng số comment được reviewer ghi chú trên tài liệu thiết kế cơ bản (Basic Design) chia theo số lượng trang (10 pages).
🔧 Tool: Word (Review → Comments), PDF Reader (Comment Summary), Google Docs (Comment Count)</t>
  </si>
  <si>
    <t xml:space="preserve">Comment rate for Detail Design</t>
  </si>
  <si>
    <t xml:space="preserve">Đánh giá mức độ đáp ứng yêu cầu của khách hàng cho tài liệu thiết kế chi tiết</t>
  </si>
  <si>
    <t xml:space="preserve">	Tương tự như trên, nhưng áp dụng cho tài liệu thiết kế chi tiết (Detail Design).
🔧 Tool: Word, PDF, hoặc hệ thống DMS có lưu comment</t>
  </si>
  <si>
    <t xml:space="preserve">Bug rate for Unit Test</t>
  </si>
  <si>
    <t xml:space="preserve">Số comment hoặc lỗi/1000 dòng code</t>
  </si>
  <si>
    <t xml:space="preserve">Đánh giá mức độ đáp ứng yêu cầu của khách hàng cho source code sau công đoạn coding</t>
  </si>
  <si>
    <t xml:space="preserve">Đếm số lỗi (bugs) được phát hiện trong Unit Test chia cho số lượng dòng code viết mới.
🔧 Tool: GitHub/GitLab + CLOC để tính LOC + Test result log</t>
  </si>
  <si>
    <t xml:space="preserve">Coverage rate for Unit test</t>
  </si>
  <si>
    <t xml:space="preserve">Tỉ lệ Coverage source code …</t>
  </si>
  <si>
    <t xml:space="preserve">	Dùng công cụ đo coverage để tính số dòng code được test chia cho tổng số dòng code.
🔧 Tool: JUnit, NUnit</t>
  </si>
  <si>
    <t xml:space="preserve">Bug rate for IT Test</t>
  </si>
  <si>
    <t xml:space="preserve">Số bug/1000 dòng code</t>
  </si>
  <si>
    <t xml:space="preserve">Đánh giá mức độ đáp ứng yêu cầu của khách hàng cho sản phẩm sau giai đoạn tích hợp hệ thống</t>
  </si>
  <si>
    <t xml:space="preserve">Tổng số lỗi được ghi nhận trong IT Test chia cho tổng số dòng code đôi tượng
🔧 Tool: Redmine, CLOC</t>
  </si>
  <si>
    <t xml:space="preserve">Bug rate for UAT Test</t>
  </si>
  <si>
    <t xml:space="preserve">Đánh giá mức độ đáp ứng yêu cầu của khách hàng cho sản phẩm sau giai đoạn bàn giao hệ thống</t>
  </si>
  <si>
    <t xml:space="preserve">Tương tự trên nhưng tính lỗi trong quá trình UAT test.
🔧 Tool: Redmine, CLOC</t>
  </si>
  <si>
    <t xml:space="preserve">Số Bug/MM</t>
  </si>
  <si>
    <t xml:space="preserve">	Tổng số bug tìm thấy trong IT Test chia cho số MM (man-month) effort đã sử dụng.
🔧 Tool: Redmine + Resource allocation trên kênh PM</t>
  </si>
  <si>
    <t xml:space="preserve">	Tổng số bug tìm thấy trong UAT Test chia cho số MM (man-month) effort đã sử dụng.
🔧 Tool: Redmine + Resource allocation trên kênh PM</t>
  </si>
  <si>
    <t xml:space="preserve">3. Quality Assurance Strategic</t>
  </si>
  <si>
    <t xml:space="preserve">Approach Method </t>
  </si>
  <si>
    <t xml:space="preserve">Triển khai áp dụng tiêu chuẩn coding chuẩn </t>
  </si>
  <si>
    <t xml:space="preserve">Áp dụng chuẩn (ví dụ: Google Java Style, JavaScript Style Guide). 
Có file .editorconfig để thống nhất format.</t>
  </si>
  <si>
    <t xml:space="preserve">Code review</t>
  </si>
  <si>
    <t xml:space="preserve">Triển khai chạy review static source code dùng tool </t>
  </si>
  <si>
    <t xml:space="preserve">Chạy tự động SonarQube, ESLint khi commit/push. 
Rule: Cyclomatic Complexity, Code Smells, Security Vulnerabilities.
Threshold: Code Smells &lt; X, Coverage ≥ 80%.</t>
  </si>
  <si>
    <t xml:space="preserve">Triển khai Leader thực hiện review code</t>
  </si>
  <si>
    <t xml:space="preserve">Pull Request/Checklist review bắt buộc
Tối thiểu có 1 lượt cross review hoặc leader review
Bắt buộc sửa comment trước khi merge
Comment list tổng hợp lại trên redmine</t>
  </si>
  <si>
    <t xml:space="preserve">Unit test</t>
  </si>
  <si>
    <t xml:space="preserve">Triển khai thiết lập tiêu chuẩn Unit testing</t>
  </si>
  <si>
    <t xml:space="preserve">Tối thiểu đến cover C0/C1.
Gồm cả abnormal case</t>
  </si>
  <si>
    <t xml:space="preserve">Triển khai tiêu chuẩn execute Unit testing</t>
  </si>
  <si>
    <t xml:space="preserve">Coverage ≥ 80% 
Unit Test phải chạy tự động qua CI/CD pipeline.</t>
  </si>
  <si>
    <t xml:space="preserve">Integration Test</t>
  </si>
  <si>
    <t xml:space="preserve">Triển khai phân tích nguyên nhân bug theo phương pháp 5Why</t>
  </si>
  <si>
    <t xml:space="preserve">Phân tích nguyên nhân, dùng 5Why để tìm được nguyên nhân gốc rễ
Đưa ra solution
Check similar
Check degrade
Đối ứng toàn bộ các similar và degrade</t>
  </si>
  <si>
    <t xml:space="preserve">4. Non-functional requirements ensuring criteria</t>
  </si>
  <si>
    <t xml:space="preserve">(*)Trong trường hợp khách hàng yêu cầu</t>
  </si>
  <si>
    <t xml:space="preserve">Performance</t>
  </si>
  <si>
    <t xml:space="preserve">Áp dụng các kỹ thuật cải thiện performance như : 
+ Đánh index
+ Dùng store procedure
+ Multi-thread
+ Review luồng nghiệp vụ tổng quan</t>
  </si>
  <si>
    <t xml:space="preserve">Change Management &amp; Risk management​</t>
  </si>
  <si>
    <t xml:space="preserve">1. Change Management Plan</t>
  </si>
  <si>
    <t xml:space="preserve">Change Management File</t>
  </si>
  <si>
    <r>
      <rPr>
        <i val="true"/>
        <sz val="12"/>
        <color rgb="FF000000"/>
        <rFont val="Calibri"/>
        <family val="2"/>
        <charset val="1"/>
      </rPr>
      <t xml:space="preserve">Refer </t>
    </r>
    <r>
      <rPr>
        <i val="true"/>
        <sz val="12"/>
        <color rgb="FFFF0000"/>
        <rFont val="Calibri"/>
        <family val="2"/>
        <charset val="1"/>
      </rPr>
      <t xml:space="preserve">[BM06_NWS_[ProjectCode]_CR Management_v1.0]</t>
    </r>
  </si>
  <si>
    <t xml:space="preserve">2. Risk Management​ Plan</t>
  </si>
  <si>
    <t xml:space="preserve">Management​ content</t>
  </si>
  <si>
    <t xml:space="preserve">Risk Management File</t>
  </si>
  <si>
    <r>
      <rPr>
        <i val="true"/>
        <sz val="12"/>
        <color rgb="FF000000"/>
        <rFont val="Calibri"/>
        <family val="2"/>
        <charset val="1"/>
      </rPr>
      <t xml:space="preserve">Refer </t>
    </r>
    <r>
      <rPr>
        <i val="true"/>
        <sz val="12"/>
        <color rgb="FFFF0000"/>
        <rFont val="Calibri"/>
        <family val="2"/>
        <charset val="1"/>
      </rPr>
      <t xml:space="preserve">[BM04_NWS_[ProjectCode]_Risk Management_v1.0]</t>
    </r>
  </si>
  <si>
    <t xml:space="preserve">3. Resource Allocation Plan</t>
  </si>
  <si>
    <t xml:space="preserve">Resource Allocation File</t>
  </si>
  <si>
    <r>
      <rPr>
        <i val="true"/>
        <sz val="12"/>
        <color rgb="FF000000"/>
        <rFont val="Calibri"/>
        <family val="2"/>
        <charset val="1"/>
      </rPr>
      <t xml:space="preserve">Refer </t>
    </r>
    <r>
      <rPr>
        <i val="true"/>
        <sz val="12"/>
        <color rgb="FFFF0000"/>
        <rFont val="Calibri"/>
        <family val="2"/>
        <charset val="1"/>
      </rPr>
      <t xml:space="preserve">[BM12_NWS_[ProjectCode]_Resource Allocation Plan_v1.0]</t>
    </r>
  </si>
  <si>
    <t xml:space="preserve">Master Data</t>
  </si>
  <si>
    <t xml:space="preserve">Resposibility</t>
  </si>
  <si>
    <t xml:space="preserve">Responsible (Does the work)</t>
  </si>
  <si>
    <t xml:space="preserve">Accountable (Final approval)</t>
  </si>
  <si>
    <t xml:space="preserve">Consulted (Provides input)</t>
  </si>
  <si>
    <t xml:space="preserve">Informed (Kept updated)</t>
  </si>
  <si>
    <t xml:space="preserve">-</t>
  </si>
  <si>
    <t xml:space="preserve">None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</si>
</sst>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m/d/yyyy"/>
    <numFmt numFmtId="167" formatCode="yyyy/m/d"/>
    <numFmt numFmtId="168" formatCode="@"/>
    <numFmt numFmtId="169" formatCode="0%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name val="游ゴシック"/>
      <family val="2"/>
      <charset val="1"/>
    </font>
    <font>
      <sz val="10"/>
      <color rgb="FF000000"/>
      <name val="Calibri"/>
      <family val="2"/>
      <charset val="1"/>
    </font>
    <font>
      <sz val="9"/>
      <name val="ＭＳ Ｐゴシック"/>
      <family val="3"/>
      <charset val="128"/>
    </font>
    <font>
      <b val="true"/>
      <sz val="20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24"/>
      <color theme="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6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sz val="12"/>
      <color rgb="FFFF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12"/>
      <color theme="0"/>
      <name val="Calibri"/>
      <family val="2"/>
      <charset val="1"/>
    </font>
    <font>
      <sz val="12"/>
      <color theme="0"/>
      <name val="Calibri Light"/>
      <family val="2"/>
      <charset val="1"/>
    </font>
    <font>
      <sz val="12"/>
      <name val="Calibri"/>
      <family val="2"/>
      <charset val="1"/>
    </font>
    <font>
      <sz val="10"/>
      <name val="Calibri"/>
      <family val="2"/>
    </font>
    <font>
      <b val="true"/>
      <sz val="16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9"/>
      <color rgb="FF000000"/>
      <name val="Tahoma"/>
      <family val="2"/>
      <charset val="1"/>
    </font>
    <font>
      <sz val="11"/>
      <color theme="1"/>
      <name val="Calibri Light"/>
      <family val="2"/>
      <charset val="1"/>
    </font>
    <font>
      <b val="true"/>
      <sz val="16"/>
      <color theme="1"/>
      <name val="Calibri Light"/>
      <family val="2"/>
      <charset val="1"/>
    </font>
    <font>
      <sz val="10"/>
      <color theme="1"/>
      <name val="Calibri Light"/>
      <family val="2"/>
      <charset val="1"/>
    </font>
    <font>
      <i val="true"/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i val="true"/>
      <sz val="10"/>
      <color rgb="FFFF0000"/>
      <name val="Calibri"/>
      <family val="2"/>
      <charset val="1"/>
    </font>
    <font>
      <b val="true"/>
      <sz val="3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i val="true"/>
      <sz val="12"/>
      <color rgb="FFFF0000"/>
      <name val="Calibri"/>
      <family val="2"/>
      <charset val="1"/>
    </font>
    <font>
      <i val="true"/>
      <sz val="12"/>
      <color theme="1"/>
      <name val="Calibri"/>
      <family val="2"/>
      <charset val="1"/>
    </font>
    <font>
      <i val="true"/>
      <sz val="12"/>
      <color rgb="FF000000"/>
      <name val="Calibri"/>
      <family val="0"/>
      <charset val="1"/>
    </font>
    <font>
      <i val="true"/>
      <sz val="12"/>
      <color rgb="FFFF0000"/>
      <name val="Calibri"/>
      <family val="0"/>
      <charset val="1"/>
    </font>
    <font>
      <i val="true"/>
      <sz val="12"/>
      <color rgb="FF000000"/>
      <name val="Calibri"/>
      <family val="2"/>
      <charset val="1"/>
    </font>
    <font>
      <sz val="10"/>
      <color theme="1"/>
      <name val="Calibri Light"/>
      <family val="0"/>
      <charset val="1"/>
    </font>
    <font>
      <sz val="11"/>
      <color theme="1"/>
      <name val="Calibri Light"/>
      <family val="0"/>
      <charset val="1"/>
    </font>
    <font>
      <sz val="16"/>
      <color theme="1"/>
      <name val="Calibri Light"/>
      <family val="0"/>
      <charset val="1"/>
    </font>
    <font>
      <b val="true"/>
      <sz val="20"/>
      <color theme="1"/>
      <name val="Calibri Light"/>
      <family val="0"/>
      <charset val="1"/>
    </font>
    <font>
      <sz val="12"/>
      <color rgb="FF000000"/>
      <name val="Calibri"/>
      <family val="0"/>
      <charset val="1"/>
    </font>
    <font>
      <sz val="12"/>
      <color rgb="FF000000"/>
      <name val="Calibri Light"/>
      <family val="0"/>
      <charset val="1"/>
    </font>
    <font>
      <sz val="30"/>
      <color theme="1"/>
      <name val="Calibri Light"/>
      <family val="0"/>
      <charset val="1"/>
    </font>
    <font>
      <sz val="10"/>
      <color theme="0"/>
      <name val="Calibri Light"/>
      <family val="0"/>
      <charset val="1"/>
    </font>
    <font>
      <sz val="10"/>
      <color rgb="FFFF0000"/>
      <name val="Calibri Light"/>
      <family val="0"/>
      <charset val="1"/>
    </font>
    <font>
      <sz val="12"/>
      <color theme="1"/>
      <name val="Calibri Light"/>
      <family val="0"/>
      <charset val="1"/>
    </font>
    <font>
      <sz val="12"/>
      <color rgb="FFFF0000"/>
      <name val="Calibri Light"/>
      <family val="0"/>
      <charset val="1"/>
    </font>
    <font>
      <sz val="20"/>
      <color theme="1"/>
      <name val="Calibri Light"/>
      <family val="0"/>
      <charset val="1"/>
    </font>
    <font>
      <sz val="12"/>
      <color theme="0"/>
      <name val="Calibri Light"/>
      <family val="0"/>
      <charset val="1"/>
    </font>
    <font>
      <sz val="12"/>
      <name val="Calibri Light"/>
      <family val="0"/>
      <charset val="1"/>
    </font>
    <font>
      <i val="true"/>
      <sz val="12"/>
      <name val="Calibri"/>
      <family val="2"/>
      <charset val="1"/>
    </font>
    <font>
      <sz val="2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3E83"/>
        <bgColor rgb="FF1B3E84"/>
      </patternFill>
    </fill>
    <fill>
      <patternFill patternType="solid">
        <fgColor rgb="FF0085F0"/>
        <bgColor rgb="FF0563C1"/>
      </patternFill>
    </fill>
    <fill>
      <patternFill patternType="solid">
        <fgColor rgb="FF2CDCFF"/>
        <bgColor rgb="FF00CCFF"/>
      </patternFill>
    </fill>
    <fill>
      <patternFill patternType="solid">
        <fgColor theme="0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theme="5" tint="0.7999"/>
        <bgColor rgb="FFFFFFFF"/>
      </patternFill>
    </fill>
    <fill>
      <patternFill patternType="solid">
        <fgColor theme="4"/>
        <bgColor rgb="FF666699"/>
      </patternFill>
    </fill>
    <fill>
      <patternFill patternType="solid">
        <fgColor rgb="FF1B3E84"/>
        <bgColor rgb="FF003E83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24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0" xfId="24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24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3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4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5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6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3" borderId="0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7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8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9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10" xfId="24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1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5" borderId="0" xfId="22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6" borderId="11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5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1" xfId="23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3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2" borderId="1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3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8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8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5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5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1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0" borderId="1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2" borderId="16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2" borderId="11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6" fillId="5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11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5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6" xfId="22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6" fillId="5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2" borderId="14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7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2" borderId="14" xfId="22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1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1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1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2" fillId="2" borderId="1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2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6" fillId="7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2" fillId="2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" fillId="7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33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32" fillId="5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3" fillId="5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33" fillId="7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5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0" fillId="5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8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0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4" fillId="0" borderId="1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35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9" fillId="2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9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2" borderId="16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2" borderId="1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6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7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7" fillId="7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7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36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6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6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7" fillId="6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7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7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7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7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9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8" fillId="5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7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1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6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7" fillId="5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5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38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6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8" fillId="5" borderId="1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38" fillId="5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5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38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38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5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7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7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5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8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1" fillId="5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2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4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5" fillId="0" borderId="11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6" fillId="0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8" fillId="5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8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2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9" fillId="2" borderId="20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9" fillId="2" borderId="11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9" fillId="2" borderId="21" xfId="22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9" fillId="2" borderId="22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0" fillId="2" borderId="18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0" fillId="2" borderId="11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2" fillId="7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1" fillId="7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1" fillId="7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1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2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50" fillId="7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50" fillId="7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2" fillId="6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3" fillId="5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4" fillId="2" borderId="11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4" fillId="2" borderId="21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1" fillId="7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1" fillId="6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51" fillId="6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2" fillId="6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1" fillId="5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1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1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2" fillId="5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1" fillId="7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5" fillId="5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1" fillId="5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6" fillId="5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1" xfId="22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8" fillId="5" borderId="1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  <cellStyle name="Normal 2" xfId="21"/>
    <cellStyle name="Normal 2 2" xfId="22"/>
    <cellStyle name="Normal 3" xfId="23"/>
    <cellStyle name="標準_生産計画ED書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5F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2CDCFF"/>
      <rgbColor rgb="FF99CC00"/>
      <rgbColor rgb="FFFFCC00"/>
      <rgbColor rgb="FFFF9900"/>
      <rgbColor rgb="FFFF6600"/>
      <rgbColor rgb="FF666699"/>
      <rgbColor rgb="FF969696"/>
      <rgbColor rgb="FF003E83"/>
      <rgbColor rgb="FF339966"/>
      <rgbColor rgb="FF003300"/>
      <rgbColor rgb="FF333300"/>
      <rgbColor rgb="FF993300"/>
      <rgbColor rgb="FF993366"/>
      <rgbColor rgb="FF1B3E8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Relationship Id="rId14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1076400</xdr:colOff>
      <xdr:row>3</xdr:row>
      <xdr:rowOff>190440</xdr:rowOff>
    </xdr:from>
    <xdr:to>
      <xdr:col>7</xdr:col>
      <xdr:colOff>196200</xdr:colOff>
      <xdr:row>7</xdr:row>
      <xdr:rowOff>53280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4257000" y="790560"/>
          <a:ext cx="2644200" cy="662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152280</xdr:colOff>
      <xdr:row>0</xdr:row>
      <xdr:rowOff>247680</xdr:rowOff>
    </xdr:from>
    <xdr:to>
      <xdr:col>2</xdr:col>
      <xdr:colOff>929520</xdr:colOff>
      <xdr:row>2</xdr:row>
      <xdr:rowOff>34200</xdr:rowOff>
    </xdr:to>
    <xdr:pic>
      <xdr:nvPicPr>
        <xdr:cNvPr id="2" name="Picture 2" descr=""/>
        <xdr:cNvPicPr/>
      </xdr:nvPicPr>
      <xdr:blipFill>
        <a:blip r:embed="rId1"/>
        <a:stretch/>
      </xdr:blipFill>
      <xdr:spPr>
        <a:xfrm>
          <a:off x="384120" y="247680"/>
          <a:ext cx="1388520" cy="491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1490400</xdr:colOff>
      <xdr:row>2</xdr:row>
      <xdr:rowOff>186480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238320" y="0"/>
          <a:ext cx="1777320" cy="62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1500480</xdr:colOff>
      <xdr:row>2</xdr:row>
      <xdr:rowOff>186480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238320" y="0"/>
          <a:ext cx="1777320" cy="62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1419840</xdr:colOff>
      <xdr:row>2</xdr:row>
      <xdr:rowOff>186480</xdr:rowOff>
    </xdr:to>
    <xdr:pic>
      <xdr:nvPicPr>
        <xdr:cNvPr id="5" name="image1.png" descr=""/>
        <xdr:cNvPicPr/>
      </xdr:nvPicPr>
      <xdr:blipFill>
        <a:blip r:embed="rId1"/>
        <a:stretch/>
      </xdr:blipFill>
      <xdr:spPr>
        <a:xfrm>
          <a:off x="238320" y="0"/>
          <a:ext cx="1777320" cy="62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1272960</xdr:colOff>
      <xdr:row>2</xdr:row>
      <xdr:rowOff>177120</xdr:rowOff>
    </xdr:to>
    <xdr:pic>
      <xdr:nvPicPr>
        <xdr:cNvPr id="6" name="image1.png" descr=""/>
        <xdr:cNvPicPr/>
      </xdr:nvPicPr>
      <xdr:blipFill>
        <a:blip r:embed="rId1"/>
        <a:stretch/>
      </xdr:blipFill>
      <xdr:spPr>
        <a:xfrm>
          <a:off x="238320" y="0"/>
          <a:ext cx="1529280" cy="61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1450440</xdr:colOff>
      <xdr:row>2</xdr:row>
      <xdr:rowOff>186480</xdr:rowOff>
    </xdr:to>
    <xdr:pic>
      <xdr:nvPicPr>
        <xdr:cNvPr id="7" name="image1.png" descr=""/>
        <xdr:cNvPicPr/>
      </xdr:nvPicPr>
      <xdr:blipFill>
        <a:blip r:embed="rId1"/>
        <a:stretch/>
      </xdr:blipFill>
      <xdr:spPr>
        <a:xfrm>
          <a:off x="238320" y="0"/>
          <a:ext cx="1777320" cy="62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28800</xdr:colOff>
      <xdr:row>0</xdr:row>
      <xdr:rowOff>66600</xdr:rowOff>
    </xdr:from>
    <xdr:to>
      <xdr:col>2</xdr:col>
      <xdr:colOff>1107360</xdr:colOff>
      <xdr:row>2</xdr:row>
      <xdr:rowOff>167400</xdr:rowOff>
    </xdr:to>
    <xdr:pic>
      <xdr:nvPicPr>
        <xdr:cNvPr id="8" name="image1.png" descr=""/>
        <xdr:cNvPicPr/>
      </xdr:nvPicPr>
      <xdr:blipFill>
        <a:blip r:embed="rId1"/>
        <a:stretch/>
      </xdr:blipFill>
      <xdr:spPr>
        <a:xfrm>
          <a:off x="181080" y="66600"/>
          <a:ext cx="1491480" cy="63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4</xdr:col>
      <xdr:colOff>640800</xdr:colOff>
      <xdr:row>8</xdr:row>
      <xdr:rowOff>249840</xdr:rowOff>
    </xdr:from>
    <xdr:to>
      <xdr:col>4</xdr:col>
      <xdr:colOff>3520440</xdr:colOff>
      <xdr:row>8</xdr:row>
      <xdr:rowOff>249840</xdr:rowOff>
    </xdr:to>
    <xdr:sp>
      <xdr:nvSpPr>
        <xdr:cNvPr id="9" name="Horizontal line 1"/>
        <xdr:cNvSpPr/>
      </xdr:nvSpPr>
      <xdr:spPr>
        <a:xfrm>
          <a:off x="4911120" y="2811960"/>
          <a:ext cx="2879640" cy="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86040</xdr:colOff>
      <xdr:row>0</xdr:row>
      <xdr:rowOff>0</xdr:rowOff>
    </xdr:from>
    <xdr:to>
      <xdr:col>2</xdr:col>
      <xdr:colOff>1450440</xdr:colOff>
      <xdr:row>2</xdr:row>
      <xdr:rowOff>186480</xdr:rowOff>
    </xdr:to>
    <xdr:pic>
      <xdr:nvPicPr>
        <xdr:cNvPr id="10" name="image1.png" descr=""/>
        <xdr:cNvPicPr/>
      </xdr:nvPicPr>
      <xdr:blipFill>
        <a:blip r:embed="rId1"/>
        <a:stretch/>
      </xdr:blipFill>
      <xdr:spPr>
        <a:xfrm>
          <a:off x="238320" y="0"/>
          <a:ext cx="1777320" cy="624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988"/>
  <sheetViews>
    <sheetView showFormulas="false" showGridLines="fals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F16" activeCellId="1" sqref="H75:H78 F16"/>
    </sheetView>
  </sheetViews>
  <sheetFormatPr defaultColWidth="12.5703125" defaultRowHeight="15" customHeight="true" zeroHeight="false" outlineLevelRow="0" outlineLevelCol="0"/>
  <cols>
    <col collapsed="false" customWidth="true" hidden="false" outlineLevel="0" max="3" min="1" style="1" width="6.71"/>
    <col collapsed="false" customWidth="true" hidden="false" outlineLevel="0" max="4" min="4" style="1" width="9.42"/>
    <col collapsed="false" customWidth="true" hidden="false" outlineLevel="0" max="5" min="5" style="1" width="15.57"/>
    <col collapsed="false" customWidth="true" hidden="false" outlineLevel="0" max="9" min="6" style="1" width="25"/>
    <col collapsed="false" customWidth="true" hidden="false" outlineLevel="0" max="12" min="10" style="1" width="8.86"/>
    <col collapsed="false" customWidth="true" hidden="false" outlineLevel="0" max="14" min="13" style="1" width="6.71"/>
    <col collapsed="false" customWidth="false" hidden="false" outlineLevel="0" max="16384" min="15" style="1" width="12.57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</row>
    <row r="4" customFormat="false" ht="15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</row>
    <row r="5" customFormat="false" ht="15.7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5" t="s">
        <v>1</v>
      </c>
    </row>
    <row r="6" customFormat="false" ht="15.75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6" t="s">
        <v>2</v>
      </c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7" t="s">
        <v>3</v>
      </c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</row>
    <row r="9" customFormat="false" ht="15.75" hidden="false" customHeight="true" outlineLevel="0" collapsed="false">
      <c r="A9" s="3"/>
      <c r="B9" s="3"/>
      <c r="C9" s="3"/>
      <c r="D9" s="8"/>
      <c r="E9" s="8"/>
      <c r="F9" s="8"/>
      <c r="G9" s="8"/>
      <c r="H9" s="8"/>
      <c r="I9" s="3"/>
      <c r="J9" s="3"/>
      <c r="K9" s="4"/>
      <c r="L9" s="4"/>
      <c r="M9" s="4"/>
      <c r="N9" s="4"/>
    </row>
    <row r="10" customFormat="false" ht="15.75" hidden="false" customHeight="true" outlineLevel="0" collapsed="false">
      <c r="A10" s="3"/>
      <c r="B10" s="3"/>
      <c r="C10" s="9"/>
      <c r="D10" s="9"/>
      <c r="E10" s="9"/>
      <c r="F10" s="9"/>
      <c r="G10" s="9"/>
      <c r="H10" s="9"/>
      <c r="I10" s="9"/>
      <c r="J10" s="3"/>
      <c r="K10" s="4"/>
      <c r="L10" s="4"/>
      <c r="M10" s="4"/>
      <c r="N10" s="4"/>
    </row>
    <row r="11" customFormat="false" ht="15.75" hidden="false" customHeight="true" outlineLevel="0" collapsed="false">
      <c r="A11" s="3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3"/>
      <c r="M11" s="4"/>
      <c r="N11" s="4"/>
    </row>
    <row r="12" customFormat="false" ht="34.5" hidden="false" customHeight="true" outlineLevel="0" collapsed="false">
      <c r="A12" s="3"/>
      <c r="B12" s="10"/>
      <c r="C12" s="14"/>
      <c r="D12" s="15" t="s">
        <v>4</v>
      </c>
      <c r="E12" s="15"/>
      <c r="F12" s="15"/>
      <c r="G12" s="15"/>
      <c r="H12" s="15"/>
      <c r="I12" s="15"/>
      <c r="J12" s="15"/>
      <c r="K12" s="15"/>
      <c r="L12" s="16"/>
      <c r="M12" s="4"/>
      <c r="N12" s="4"/>
    </row>
    <row r="13" customFormat="false" ht="15.75" hidden="false" customHeight="true" outlineLevel="0" collapsed="false">
      <c r="A13" s="3"/>
      <c r="B13" s="10"/>
      <c r="C13" s="17"/>
      <c r="D13" s="18"/>
      <c r="E13" s="18"/>
      <c r="F13" s="18"/>
      <c r="G13" s="18"/>
      <c r="H13" s="18"/>
      <c r="I13" s="18"/>
      <c r="J13" s="18"/>
      <c r="K13" s="18"/>
      <c r="L13" s="19"/>
      <c r="M13" s="4"/>
      <c r="N13" s="4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  <c r="M14" s="4"/>
      <c r="N14" s="4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  <c r="M15" s="4"/>
      <c r="N15" s="4"/>
    </row>
    <row r="16" s="21" customFormat="true" ht="18.75" hidden="false" customHeight="true" outlineLevel="0" collapsed="false">
      <c r="A16" s="20"/>
      <c r="B16" s="20"/>
      <c r="C16" s="20"/>
      <c r="E16" s="22" t="s">
        <v>5</v>
      </c>
      <c r="F16" s="23" t="s">
        <v>6</v>
      </c>
      <c r="G16" s="24"/>
      <c r="H16" s="22" t="s">
        <v>7</v>
      </c>
      <c r="I16" s="25" t="s">
        <v>8</v>
      </c>
      <c r="J16" s="26"/>
      <c r="K16" s="27"/>
      <c r="L16" s="27"/>
      <c r="M16" s="27"/>
      <c r="N16" s="27"/>
    </row>
    <row r="17" s="21" customFormat="true" ht="18.75" hidden="false" customHeight="true" outlineLevel="0" collapsed="false">
      <c r="A17" s="20"/>
      <c r="B17" s="20"/>
      <c r="C17" s="20"/>
      <c r="E17" s="22" t="s">
        <v>9</v>
      </c>
      <c r="F17" s="23" t="s">
        <v>10</v>
      </c>
      <c r="G17" s="24"/>
      <c r="H17" s="22" t="s">
        <v>11</v>
      </c>
      <c r="I17" s="25" t="s">
        <v>12</v>
      </c>
      <c r="J17" s="26"/>
      <c r="K17" s="27"/>
      <c r="L17" s="27"/>
      <c r="M17" s="27"/>
      <c r="N17" s="27"/>
    </row>
    <row r="18" s="21" customFormat="true" ht="18.75" hidden="false" customHeight="true" outlineLevel="0" collapsed="false">
      <c r="A18" s="20"/>
      <c r="B18" s="20"/>
      <c r="C18" s="20"/>
      <c r="E18" s="22" t="s">
        <v>13</v>
      </c>
      <c r="F18" s="23" t="s">
        <v>14</v>
      </c>
      <c r="G18" s="24"/>
      <c r="H18" s="22" t="s">
        <v>15</v>
      </c>
      <c r="I18" s="25" t="s">
        <v>16</v>
      </c>
      <c r="J18" s="26"/>
      <c r="K18" s="27"/>
      <c r="L18" s="27"/>
      <c r="M18" s="27"/>
      <c r="N18" s="27"/>
    </row>
    <row r="19" customFormat="false" ht="15.75" hidden="false" customHeight="true" outlineLevel="0" collapsed="false">
      <c r="A19" s="3"/>
      <c r="B19" s="3"/>
      <c r="C19" s="3"/>
      <c r="D19" s="28"/>
      <c r="E19" s="28"/>
      <c r="F19" s="28"/>
      <c r="G19" s="28"/>
      <c r="H19" s="28"/>
      <c r="I19" s="28"/>
      <c r="J19" s="28"/>
      <c r="K19" s="3"/>
      <c r="L19" s="4"/>
      <c r="M19" s="4"/>
      <c r="N19" s="4"/>
    </row>
    <row r="20" customFormat="false" ht="19.5" hidden="false" customHeight="true" outlineLevel="0" collapsed="false">
      <c r="I20" s="4"/>
      <c r="J20" s="4"/>
    </row>
    <row r="21" customFormat="false" ht="21.75" hidden="false" customHeight="true" outlineLevel="0" collapsed="false">
      <c r="E21" s="22"/>
      <c r="F21" s="29" t="s">
        <v>17</v>
      </c>
      <c r="G21" s="29" t="s">
        <v>18</v>
      </c>
      <c r="H21" s="29" t="s">
        <v>19</v>
      </c>
      <c r="I21" s="29" t="s">
        <v>20</v>
      </c>
      <c r="J21" s="24"/>
    </row>
    <row r="22" customFormat="false" ht="21.75" hidden="false" customHeight="true" outlineLevel="0" collapsed="false">
      <c r="E22" s="30" t="s">
        <v>21</v>
      </c>
      <c r="F22" s="23" t="s">
        <v>22</v>
      </c>
      <c r="G22" s="23" t="s">
        <v>23</v>
      </c>
      <c r="H22" s="23" t="s">
        <v>23</v>
      </c>
      <c r="I22" s="23" t="s">
        <v>24</v>
      </c>
      <c r="J22" s="24"/>
    </row>
    <row r="23" customFormat="false" ht="21.75" hidden="false" customHeight="true" outlineLevel="0" collapsed="false">
      <c r="E23" s="30" t="s">
        <v>25</v>
      </c>
      <c r="F23" s="23" t="s">
        <v>17</v>
      </c>
      <c r="G23" s="23" t="s">
        <v>26</v>
      </c>
      <c r="H23" s="23" t="s">
        <v>27</v>
      </c>
      <c r="I23" s="23" t="s">
        <v>28</v>
      </c>
      <c r="J23" s="24"/>
    </row>
    <row r="24" customFormat="false" ht="21.75" hidden="false" customHeight="true" outlineLevel="0" collapsed="false">
      <c r="E24" s="30" t="s">
        <v>29</v>
      </c>
      <c r="F24" s="23" t="s">
        <v>30</v>
      </c>
      <c r="G24" s="23" t="s">
        <v>31</v>
      </c>
      <c r="H24" s="23" t="s">
        <v>31</v>
      </c>
      <c r="I24" s="23" t="s">
        <v>32</v>
      </c>
      <c r="J24" s="24"/>
    </row>
    <row r="25" customFormat="false" ht="15.75" hidden="false" customHeight="true" outlineLevel="0" collapsed="false">
      <c r="E25" s="3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</sheetData>
  <mergeCells count="3">
    <mergeCell ref="A1:N2"/>
    <mergeCell ref="D9:H9"/>
    <mergeCell ref="D12:K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7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1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L14" activeCellId="1" sqref="H75:H78 L1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32" width="3.29"/>
    <col collapsed="false" customWidth="true" hidden="false" outlineLevel="0" max="3" min="3" style="32" width="15.14"/>
    <col collapsed="false" customWidth="true" hidden="false" outlineLevel="0" max="5" min="4" style="32" width="8"/>
    <col collapsed="false" customWidth="true" hidden="false" outlineLevel="0" max="6" min="6" style="32" width="15.14"/>
    <col collapsed="false" customWidth="true" hidden="false" outlineLevel="0" max="7" min="7" style="32" width="12.86"/>
    <col collapsed="false" customWidth="true" hidden="false" outlineLevel="0" max="8" min="8" style="32" width="8"/>
    <col collapsed="false" customWidth="true" hidden="false" outlineLevel="0" max="9" min="9" style="32" width="5.71"/>
    <col collapsed="false" customWidth="true" hidden="false" outlineLevel="0" max="10" min="10" style="32" width="13.86"/>
    <col collapsed="false" customWidth="true" hidden="false" outlineLevel="0" max="11" min="11" style="32" width="12.57"/>
    <col collapsed="false" customWidth="true" hidden="false" outlineLevel="0" max="12" min="12" style="32" width="5.42"/>
    <col collapsed="false" customWidth="true" hidden="false" outlineLevel="0" max="13" min="13" style="32" width="8"/>
    <col collapsed="false" customWidth="true" hidden="false" outlineLevel="0" max="14" min="14" style="32" width="16.29"/>
  </cols>
  <sheetData>
    <row r="1" customFormat="false" ht="27.75" hidden="false" customHeight="true" outlineLevel="0" collapsed="false">
      <c r="B1" s="33"/>
      <c r="C1" s="33"/>
      <c r="D1" s="34" t="s">
        <v>33</v>
      </c>
      <c r="E1" s="34"/>
      <c r="F1" s="34"/>
      <c r="G1" s="34"/>
      <c r="H1" s="34"/>
      <c r="I1" s="34"/>
      <c r="J1" s="34"/>
      <c r="K1" s="34"/>
      <c r="L1" s="35" t="s">
        <v>34</v>
      </c>
      <c r="M1" s="35"/>
      <c r="N1" s="35"/>
    </row>
    <row r="2" customFormat="false" ht="27.75" hidden="false" customHeight="true" outlineLevel="0" collapsed="false">
      <c r="B2" s="33"/>
      <c r="C2" s="33"/>
      <c r="D2" s="34"/>
      <c r="E2" s="34"/>
      <c r="F2" s="34"/>
      <c r="G2" s="34"/>
      <c r="H2" s="34"/>
      <c r="I2" s="34"/>
      <c r="J2" s="34"/>
      <c r="K2" s="34"/>
      <c r="L2" s="36" t="s">
        <v>35</v>
      </c>
      <c r="M2" s="36"/>
      <c r="N2" s="36"/>
    </row>
    <row r="3" customFormat="false" ht="27.75" hidden="false" customHeight="true" outlineLevel="0" collapsed="false">
      <c r="B3" s="33"/>
      <c r="C3" s="33"/>
      <c r="D3" s="34"/>
      <c r="E3" s="34"/>
      <c r="F3" s="34"/>
      <c r="G3" s="34"/>
      <c r="H3" s="34"/>
      <c r="I3" s="34"/>
      <c r="J3" s="34"/>
      <c r="K3" s="34"/>
      <c r="L3" s="36" t="s">
        <v>36</v>
      </c>
      <c r="M3" s="36"/>
      <c r="N3" s="36"/>
    </row>
    <row r="4" customFormat="false" ht="24.45" hidden="false" customHeight="false" outlineLevel="0" collapsed="false"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customFormat="false" ht="15" hidden="false" customHeight="false" outlineLevel="0" collapsed="false">
      <c r="B5" s="38" t="s">
        <v>37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</row>
    <row r="6" s="39" customFormat="true" ht="22.5" hidden="false" customHeight="true" outlineLevel="0" collapsed="false">
      <c r="B6" s="40" t="s">
        <v>38</v>
      </c>
      <c r="C6" s="40" t="s">
        <v>39</v>
      </c>
      <c r="D6" s="41" t="s">
        <v>40</v>
      </c>
      <c r="E6" s="41"/>
      <c r="F6" s="41"/>
      <c r="G6" s="42" t="s">
        <v>41</v>
      </c>
      <c r="H6" s="42" t="s">
        <v>42</v>
      </c>
      <c r="I6" s="42"/>
      <c r="J6" s="43" t="s">
        <v>43</v>
      </c>
      <c r="K6" s="43" t="s">
        <v>44</v>
      </c>
      <c r="L6" s="42" t="s">
        <v>45</v>
      </c>
      <c r="M6" s="42"/>
      <c r="N6" s="42"/>
    </row>
    <row r="7" customFormat="false" ht="15" hidden="false" customHeight="true" outlineLevel="0" collapsed="false">
      <c r="B7" s="44" t="n">
        <v>1</v>
      </c>
      <c r="C7" s="45" t="n">
        <v>45661</v>
      </c>
      <c r="D7" s="46" t="s">
        <v>46</v>
      </c>
      <c r="E7" s="46"/>
      <c r="F7" s="46"/>
      <c r="G7" s="47" t="s">
        <v>46</v>
      </c>
      <c r="H7" s="48" t="s">
        <v>47</v>
      </c>
      <c r="I7" s="48"/>
      <c r="J7" s="49" t="s">
        <v>48</v>
      </c>
      <c r="K7" s="49" t="s">
        <v>49</v>
      </c>
      <c r="L7" s="50"/>
      <c r="M7" s="50"/>
      <c r="N7" s="50"/>
    </row>
    <row r="8" customFormat="false" ht="15" hidden="false" customHeight="true" outlineLevel="0" collapsed="false">
      <c r="B8" s="51" t="n">
        <v>2</v>
      </c>
      <c r="C8" s="45" t="n">
        <v>45939</v>
      </c>
      <c r="D8" s="52" t="s">
        <v>50</v>
      </c>
      <c r="E8" s="52"/>
      <c r="F8" s="52"/>
      <c r="G8" s="53" t="s">
        <v>51</v>
      </c>
      <c r="H8" s="54" t="s">
        <v>52</v>
      </c>
      <c r="I8" s="54"/>
      <c r="J8" s="49" t="s">
        <v>48</v>
      </c>
      <c r="K8" s="49" t="s">
        <v>49</v>
      </c>
      <c r="L8" s="55"/>
      <c r="M8" s="55"/>
      <c r="N8" s="55"/>
    </row>
    <row r="9" customFormat="false" ht="15" hidden="false" customHeight="false" outlineLevel="0" collapsed="false">
      <c r="B9" s="51" t="n">
        <v>3</v>
      </c>
      <c r="C9" s="52"/>
      <c r="D9" s="55"/>
      <c r="E9" s="55"/>
      <c r="F9" s="55"/>
      <c r="G9" s="53"/>
      <c r="H9" s="54"/>
      <c r="I9" s="54"/>
      <c r="J9" s="49"/>
      <c r="K9" s="49"/>
      <c r="L9" s="55"/>
      <c r="M9" s="55"/>
      <c r="N9" s="55"/>
    </row>
    <row r="10" customFormat="false" ht="15" hidden="false" customHeight="false" outlineLevel="0" collapsed="false">
      <c r="B10" s="51" t="n">
        <v>4</v>
      </c>
      <c r="C10" s="56"/>
      <c r="D10" s="55"/>
      <c r="E10" s="55"/>
      <c r="F10" s="55"/>
      <c r="G10" s="53"/>
      <c r="H10" s="54"/>
      <c r="I10" s="54"/>
      <c r="J10" s="49"/>
      <c r="K10" s="49"/>
      <c r="L10" s="55"/>
      <c r="M10" s="55"/>
      <c r="N10" s="55"/>
    </row>
    <row r="11" customFormat="false" ht="15" hidden="false" customHeight="false" outlineLevel="0" collapsed="false">
      <c r="B11" s="51" t="n">
        <v>5</v>
      </c>
      <c r="C11" s="56"/>
      <c r="D11" s="55"/>
      <c r="E11" s="55"/>
      <c r="F11" s="55"/>
      <c r="G11" s="53"/>
      <c r="H11" s="54"/>
      <c r="I11" s="54"/>
      <c r="J11" s="49"/>
      <c r="K11" s="49"/>
      <c r="L11" s="55"/>
      <c r="M11" s="55"/>
      <c r="N11" s="55"/>
    </row>
    <row r="12" customFormat="false" ht="15" hidden="false" customHeight="false" outlineLevel="0" collapsed="false">
      <c r="B12" s="44" t="n">
        <v>6</v>
      </c>
      <c r="C12" s="57"/>
      <c r="D12" s="50"/>
      <c r="E12" s="50"/>
      <c r="F12" s="50"/>
      <c r="G12" s="47"/>
      <c r="H12" s="48"/>
      <c r="I12" s="48"/>
      <c r="J12" s="49"/>
      <c r="K12" s="49"/>
      <c r="L12" s="50"/>
      <c r="M12" s="50"/>
      <c r="N12" s="50"/>
    </row>
    <row r="13" customFormat="false" ht="15" hidden="false" customHeight="false" outlineLevel="0" collapsed="false">
      <c r="B13" s="51" t="n">
        <v>7</v>
      </c>
      <c r="C13" s="56"/>
      <c r="D13" s="55"/>
      <c r="E13" s="55"/>
      <c r="F13" s="55"/>
      <c r="G13" s="53"/>
      <c r="H13" s="54"/>
      <c r="I13" s="54"/>
      <c r="J13" s="49"/>
      <c r="K13" s="49"/>
      <c r="L13" s="55"/>
      <c r="M13" s="55"/>
      <c r="N13" s="55"/>
    </row>
    <row r="14" customFormat="false" ht="15" hidden="false" customHeight="false" outlineLevel="0" collapsed="false">
      <c r="B14" s="51" t="n">
        <v>8</v>
      </c>
      <c r="C14" s="56"/>
      <c r="D14" s="55"/>
      <c r="E14" s="55"/>
      <c r="F14" s="55"/>
      <c r="G14" s="53"/>
      <c r="H14" s="54"/>
      <c r="I14" s="54"/>
      <c r="J14" s="49"/>
      <c r="K14" s="49"/>
      <c r="L14" s="55"/>
      <c r="M14" s="55"/>
      <c r="N14" s="55"/>
    </row>
    <row r="15" customFormat="false" ht="15" hidden="false" customHeight="false" outlineLevel="0" collapsed="false">
      <c r="B15" s="51" t="n">
        <v>9</v>
      </c>
      <c r="C15" s="56"/>
      <c r="D15" s="55"/>
      <c r="E15" s="55"/>
      <c r="F15" s="55"/>
      <c r="G15" s="53"/>
      <c r="H15" s="54"/>
      <c r="I15" s="54"/>
      <c r="J15" s="49"/>
      <c r="K15" s="49"/>
      <c r="L15" s="55"/>
      <c r="M15" s="55"/>
      <c r="N15" s="55"/>
    </row>
    <row r="16" customFormat="false" ht="15" hidden="false" customHeight="false" outlineLevel="0" collapsed="false">
      <c r="B16" s="51" t="n">
        <v>10</v>
      </c>
      <c r="C16" s="56"/>
      <c r="D16" s="55"/>
      <c r="E16" s="55"/>
      <c r="F16" s="55"/>
      <c r="G16" s="53"/>
      <c r="H16" s="54"/>
      <c r="I16" s="54"/>
      <c r="J16" s="49"/>
      <c r="K16" s="49"/>
      <c r="L16" s="55"/>
      <c r="M16" s="55"/>
      <c r="N16" s="55"/>
    </row>
    <row r="17" customFormat="false" ht="15" hidden="false" customHeight="false" outlineLevel="0" collapsed="false">
      <c r="B17" s="44" t="n">
        <v>11</v>
      </c>
      <c r="C17" s="57"/>
      <c r="D17" s="50"/>
      <c r="E17" s="50"/>
      <c r="F17" s="50"/>
      <c r="G17" s="47"/>
      <c r="H17" s="48"/>
      <c r="I17" s="48"/>
      <c r="J17" s="49"/>
      <c r="K17" s="49"/>
      <c r="L17" s="50"/>
      <c r="M17" s="50"/>
      <c r="N17" s="50"/>
    </row>
    <row r="18" customFormat="false" ht="15" hidden="false" customHeight="false" outlineLevel="0" collapsed="false">
      <c r="B18" s="51" t="n">
        <v>12</v>
      </c>
      <c r="C18" s="56"/>
      <c r="D18" s="55"/>
      <c r="E18" s="55"/>
      <c r="F18" s="55"/>
      <c r="G18" s="53"/>
      <c r="H18" s="54"/>
      <c r="I18" s="54"/>
      <c r="J18" s="49"/>
      <c r="K18" s="49"/>
      <c r="L18" s="55"/>
      <c r="M18" s="55"/>
      <c r="N18" s="55"/>
    </row>
    <row r="19" customFormat="false" ht="15" hidden="false" customHeight="false" outlineLevel="0" collapsed="false">
      <c r="B19" s="51" t="n">
        <v>13</v>
      </c>
      <c r="C19" s="56"/>
      <c r="D19" s="55"/>
      <c r="E19" s="55"/>
      <c r="F19" s="55"/>
      <c r="G19" s="53"/>
      <c r="H19" s="54"/>
      <c r="I19" s="54"/>
      <c r="J19" s="49"/>
      <c r="K19" s="49"/>
      <c r="L19" s="55"/>
      <c r="M19" s="55"/>
      <c r="N19" s="55"/>
    </row>
    <row r="20" customFormat="false" ht="15" hidden="false" customHeight="false" outlineLevel="0" collapsed="false">
      <c r="B20" s="51" t="n">
        <v>14</v>
      </c>
      <c r="C20" s="56"/>
      <c r="D20" s="55"/>
      <c r="E20" s="55"/>
      <c r="F20" s="55"/>
      <c r="G20" s="53"/>
      <c r="H20" s="54"/>
      <c r="I20" s="54"/>
      <c r="J20" s="49"/>
      <c r="K20" s="49"/>
      <c r="L20" s="55"/>
      <c r="M20" s="55"/>
      <c r="N20" s="55"/>
    </row>
    <row r="21" customFormat="false" ht="15" hidden="false" customHeight="false" outlineLevel="0" collapsed="false">
      <c r="B21" s="51" t="n">
        <v>15</v>
      </c>
      <c r="C21" s="56"/>
      <c r="D21" s="55"/>
      <c r="E21" s="55"/>
      <c r="F21" s="55"/>
      <c r="G21" s="53"/>
      <c r="H21" s="54"/>
      <c r="I21" s="54"/>
      <c r="J21" s="49"/>
      <c r="K21" s="49"/>
      <c r="L21" s="55"/>
      <c r="M21" s="55"/>
      <c r="N21" s="55"/>
    </row>
  </sheetData>
  <mergeCells count="55">
    <mergeCell ref="B1:C3"/>
    <mergeCell ref="D1:K3"/>
    <mergeCell ref="L1:N1"/>
    <mergeCell ref="L2:N2"/>
    <mergeCell ref="L3:N3"/>
    <mergeCell ref="B4:N4"/>
    <mergeCell ref="B5:N5"/>
    <mergeCell ref="D6:F6"/>
    <mergeCell ref="H6:I6"/>
    <mergeCell ref="L6:N6"/>
    <mergeCell ref="D7:F7"/>
    <mergeCell ref="H7:I7"/>
    <mergeCell ref="L7:N7"/>
    <mergeCell ref="D8:F8"/>
    <mergeCell ref="H8:I8"/>
    <mergeCell ref="L8:N8"/>
    <mergeCell ref="D9:F9"/>
    <mergeCell ref="H9:I9"/>
    <mergeCell ref="L9:N9"/>
    <mergeCell ref="D10:F10"/>
    <mergeCell ref="H10:I10"/>
    <mergeCell ref="L10:N10"/>
    <mergeCell ref="D11:F11"/>
    <mergeCell ref="H11:I11"/>
    <mergeCell ref="L11:N11"/>
    <mergeCell ref="D12:F12"/>
    <mergeCell ref="H12:I12"/>
    <mergeCell ref="L12:N12"/>
    <mergeCell ref="D13:F13"/>
    <mergeCell ref="H13:I13"/>
    <mergeCell ref="L13:N13"/>
    <mergeCell ref="D14:F14"/>
    <mergeCell ref="H14:I14"/>
    <mergeCell ref="L14:N14"/>
    <mergeCell ref="D15:F15"/>
    <mergeCell ref="H15:I15"/>
    <mergeCell ref="L15:N15"/>
    <mergeCell ref="D16:F16"/>
    <mergeCell ref="H16:I16"/>
    <mergeCell ref="L16:N16"/>
    <mergeCell ref="D17:F17"/>
    <mergeCell ref="H17:I17"/>
    <mergeCell ref="L17:N17"/>
    <mergeCell ref="D18:F18"/>
    <mergeCell ref="H18:I18"/>
    <mergeCell ref="L18:N18"/>
    <mergeCell ref="D19:F19"/>
    <mergeCell ref="H19:I19"/>
    <mergeCell ref="L19:N19"/>
    <mergeCell ref="D20:F20"/>
    <mergeCell ref="H20:I20"/>
    <mergeCell ref="L20:N20"/>
    <mergeCell ref="D21:F21"/>
    <mergeCell ref="H21:I21"/>
    <mergeCell ref="L21:N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I3" activeCellId="1" sqref="H75:H78 I3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5.29"/>
    <col collapsed="false" customWidth="true" hidden="false" outlineLevel="0" max="3" min="3" style="58" width="31.29"/>
    <col collapsed="false" customWidth="true" hidden="false" outlineLevel="0" max="4" min="4" style="59" width="10.14"/>
    <col collapsed="false" customWidth="true" hidden="false" outlineLevel="0" max="5" min="5" style="58" width="40.84"/>
    <col collapsed="false" customWidth="true" hidden="false" outlineLevel="0" max="7" min="6" style="58" width="15.85"/>
    <col collapsed="false" customWidth="true" hidden="false" outlineLevel="0" max="8" min="8" style="58" width="16.57"/>
    <col collapsed="false" customWidth="true" hidden="false" outlineLevel="0" max="9" min="9" style="58" width="13.15"/>
    <col collapsed="false" customWidth="true" hidden="false" outlineLevel="0" max="10" min="10" style="58" width="7.16"/>
    <col collapsed="false" customWidth="true" hidden="false" outlineLevel="0" max="11" min="11" style="58" width="8.57"/>
    <col collapsed="false" customWidth="false" hidden="false" outlineLevel="0" max="16384" min="12" style="58" width="9"/>
  </cols>
  <sheetData>
    <row r="1" customFormat="false" ht="17.25" hidden="false" customHeight="true" outlineLevel="0" collapsed="false">
      <c r="A1" s="60" t="s">
        <v>37</v>
      </c>
      <c r="B1" s="61"/>
      <c r="C1" s="61"/>
      <c r="D1" s="62" t="s">
        <v>53</v>
      </c>
      <c r="E1" s="62"/>
      <c r="F1" s="62"/>
      <c r="G1" s="63" t="str">
        <f aca="false">'Page Revision History'!L1</f>
        <v>Mã số: BM03-QT-OP-01</v>
      </c>
      <c r="H1" s="63"/>
    </row>
    <row r="2" customFormat="false" ht="17.25" hidden="false" customHeight="true" outlineLevel="0" collapsed="false">
      <c r="A2" s="60"/>
      <c r="B2" s="61"/>
      <c r="C2" s="61"/>
      <c r="D2" s="62"/>
      <c r="E2" s="62"/>
      <c r="F2" s="62"/>
      <c r="G2" s="63" t="str">
        <f aca="false">'Page Revision History'!L2</f>
        <v>Ngày hiệu lực: 10/09/2025</v>
      </c>
      <c r="H2" s="63"/>
    </row>
    <row r="3" customFormat="false" ht="17.25" hidden="false" customHeight="true" outlineLevel="0" collapsed="false">
      <c r="A3" s="60"/>
      <c r="B3" s="61"/>
      <c r="C3" s="61"/>
      <c r="D3" s="62"/>
      <c r="E3" s="62"/>
      <c r="F3" s="62"/>
      <c r="G3" s="63" t="str">
        <f aca="false">'Page Revision History'!L3</f>
        <v>Lần ban hành: 02</v>
      </c>
      <c r="H3" s="63"/>
    </row>
    <row r="4" s="64" customFormat="true" ht="12.75" hidden="false" customHeight="false" outlineLevel="0" collapsed="false">
      <c r="A4" s="58"/>
      <c r="B4" s="58"/>
      <c r="C4" s="58"/>
      <c r="D4" s="59"/>
      <c r="E4" s="58"/>
      <c r="F4" s="58"/>
      <c r="G4" s="58"/>
      <c r="H4" s="58"/>
      <c r="I4" s="58"/>
      <c r="J4" s="58"/>
      <c r="K4" s="58"/>
      <c r="L4" s="58"/>
      <c r="M4" s="58"/>
    </row>
    <row r="5" s="64" customFormat="true" ht="31.5" hidden="false" customHeight="true" outlineLevel="0" collapsed="false">
      <c r="A5" s="58"/>
      <c r="B5" s="29" t="s">
        <v>54</v>
      </c>
      <c r="C5" s="29" t="s">
        <v>55</v>
      </c>
      <c r="D5" s="29" t="s">
        <v>56</v>
      </c>
      <c r="E5" s="65" t="s">
        <v>57</v>
      </c>
      <c r="F5" s="65" t="s">
        <v>58</v>
      </c>
      <c r="G5" s="65"/>
      <c r="H5" s="29" t="s">
        <v>59</v>
      </c>
      <c r="I5" s="58"/>
      <c r="J5" s="58"/>
      <c r="K5" s="59"/>
    </row>
    <row r="6" s="64" customFormat="true" ht="84.75" hidden="false" customHeight="true" outlineLevel="0" collapsed="false">
      <c r="A6" s="58"/>
      <c r="B6" s="66" t="n">
        <v>1</v>
      </c>
      <c r="C6" s="67" t="s">
        <v>60</v>
      </c>
      <c r="D6" s="66" t="s">
        <v>17</v>
      </c>
      <c r="E6" s="68" t="s">
        <v>61</v>
      </c>
      <c r="F6" s="69"/>
      <c r="G6" s="69"/>
      <c r="H6" s="70" t="s">
        <v>62</v>
      </c>
      <c r="I6" s="58"/>
      <c r="J6" s="58"/>
    </row>
    <row r="7" s="64" customFormat="true" ht="51" hidden="false" customHeight="true" outlineLevel="0" collapsed="false">
      <c r="A7" s="58"/>
      <c r="B7" s="66" t="n">
        <v>2</v>
      </c>
      <c r="C7" s="67" t="s">
        <v>63</v>
      </c>
      <c r="D7" s="66" t="s">
        <v>17</v>
      </c>
      <c r="E7" s="68" t="s">
        <v>64</v>
      </c>
      <c r="F7" s="69"/>
      <c r="G7" s="69"/>
      <c r="H7" s="70" t="s">
        <v>62</v>
      </c>
      <c r="I7" s="58"/>
      <c r="J7" s="58"/>
    </row>
    <row r="8" s="64" customFormat="true" ht="81.75" hidden="false" customHeight="true" outlineLevel="0" collapsed="false">
      <c r="A8" s="58"/>
      <c r="B8" s="66" t="n">
        <v>3</v>
      </c>
      <c r="C8" s="67" t="s">
        <v>65</v>
      </c>
      <c r="D8" s="66" t="s">
        <v>17</v>
      </c>
      <c r="E8" s="68" t="s">
        <v>66</v>
      </c>
      <c r="F8" s="69"/>
      <c r="G8" s="69"/>
      <c r="H8" s="70" t="s">
        <v>62</v>
      </c>
      <c r="I8" s="58"/>
      <c r="J8" s="58"/>
    </row>
    <row r="9" s="64" customFormat="true" ht="68.25" hidden="false" customHeight="true" outlineLevel="0" collapsed="false">
      <c r="A9" s="58"/>
      <c r="B9" s="66" t="n">
        <v>4</v>
      </c>
      <c r="C9" s="67" t="s">
        <v>67</v>
      </c>
      <c r="D9" s="66" t="s">
        <v>17</v>
      </c>
      <c r="E9" s="68" t="s">
        <v>68</v>
      </c>
      <c r="F9" s="69"/>
      <c r="G9" s="69"/>
      <c r="H9" s="70" t="s">
        <v>62</v>
      </c>
      <c r="I9" s="58"/>
      <c r="J9" s="58"/>
    </row>
    <row r="10" s="64" customFormat="true" ht="69" hidden="false" customHeight="true" outlineLevel="0" collapsed="false">
      <c r="A10" s="58"/>
      <c r="B10" s="66" t="n">
        <v>5</v>
      </c>
      <c r="C10" s="71" t="s">
        <v>69</v>
      </c>
      <c r="D10" s="66" t="s">
        <v>17</v>
      </c>
      <c r="E10" s="68" t="s">
        <v>70</v>
      </c>
      <c r="F10" s="69"/>
      <c r="G10" s="69"/>
      <c r="H10" s="70" t="s">
        <v>62</v>
      </c>
      <c r="I10" s="58"/>
      <c r="J10" s="58"/>
    </row>
    <row r="11" s="64" customFormat="true" ht="57.75" hidden="false" customHeight="true" outlineLevel="0" collapsed="false">
      <c r="A11" s="58"/>
      <c r="B11" s="66" t="n">
        <v>6</v>
      </c>
      <c r="C11" s="67" t="s">
        <v>71</v>
      </c>
      <c r="D11" s="66" t="s">
        <v>17</v>
      </c>
      <c r="E11" s="68" t="s">
        <v>72</v>
      </c>
      <c r="F11" s="69" t="s">
        <v>73</v>
      </c>
      <c r="G11" s="69"/>
      <c r="H11" s="70" t="s">
        <v>62</v>
      </c>
      <c r="I11" s="58"/>
      <c r="J11" s="58"/>
    </row>
    <row r="12" s="64" customFormat="true" ht="12.75" hidden="false" customHeight="false" outlineLevel="0" collapsed="false">
      <c r="A12" s="58"/>
      <c r="D12" s="72"/>
      <c r="H12" s="58"/>
      <c r="I12" s="58"/>
      <c r="K12" s="59"/>
    </row>
  </sheetData>
  <mergeCells count="12">
    <mergeCell ref="B1:C3"/>
    <mergeCell ref="D1:F3"/>
    <mergeCell ref="G1:H1"/>
    <mergeCell ref="G2:H2"/>
    <mergeCell ref="G3:H3"/>
    <mergeCell ref="F5:G5"/>
    <mergeCell ref="F6:G6"/>
    <mergeCell ref="F7:G7"/>
    <mergeCell ref="F8:G8"/>
    <mergeCell ref="F9:G9"/>
    <mergeCell ref="F10:G10"/>
    <mergeCell ref="F11:G11"/>
  </mergeCells>
  <dataValidations count="1">
    <dataValidation allowBlank="true" errorStyle="stop" operator="between" showDropDown="false" showErrorMessage="true" showInputMessage="true" sqref="H6:H11" type="list">
      <formula1>"Done,Open"</formula1>
      <formula2>0</formula2>
    </dataValidation>
  </dataValidations>
  <hyperlinks>
    <hyperlink ref="C6" location="'1. Project Information'!A1" display="1. Project Information"/>
    <hyperlink ref="C7" location="'2. Role &amp; Team'!A1" display="2. Role &amp; Team"/>
    <hyperlink ref="C8" location="'3.Configuration Plan'!A1" display="3.Configuration Plan"/>
    <hyperlink ref="C9" location="'4. Communication Plan &amp; Tools'!A1" display="4. Communication Plan &amp; Tools"/>
    <hyperlink ref="C10" location="'5. Standard Metric'!A1" display="5. Standard Metric"/>
    <hyperlink ref="C11" location="'6. Other plan'!A1" display="6. Other Pla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8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D54" activeCellId="1" sqref="H75:H78 D54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5.14"/>
    <col collapsed="false" customWidth="true" hidden="false" outlineLevel="0" max="3" min="3" style="58" width="24.71"/>
    <col collapsed="false" customWidth="true" hidden="false" outlineLevel="0" max="4" min="4" style="58" width="14.42"/>
    <col collapsed="false" customWidth="true" hidden="false" outlineLevel="0" max="5" min="5" style="58" width="44"/>
    <col collapsed="false" customWidth="true" hidden="false" outlineLevel="0" max="7" min="6" style="58" width="26.42"/>
    <col collapsed="false" customWidth="true" hidden="false" outlineLevel="0" max="8" min="8" style="59" width="18.42"/>
    <col collapsed="false" customWidth="true" hidden="false" outlineLevel="0" max="9" min="9" style="58" width="28"/>
    <col collapsed="false" customWidth="true" hidden="false" outlineLevel="0" max="10" min="10" style="58" width="16.71"/>
    <col collapsed="false" customWidth="true" hidden="false" outlineLevel="0" max="14" min="11" style="58" width="13.29"/>
    <col collapsed="false" customWidth="false" hidden="false" outlineLevel="0" max="16384" min="15" style="58" width="9"/>
  </cols>
  <sheetData>
    <row r="1" s="76" customFormat="true" ht="17.25" hidden="false" customHeight="true" outlineLevel="0" collapsed="false">
      <c r="A1" s="73" t="s">
        <v>37</v>
      </c>
      <c r="B1" s="74"/>
      <c r="C1" s="74"/>
      <c r="D1" s="34" t="s">
        <v>74</v>
      </c>
      <c r="E1" s="34"/>
      <c r="F1" s="75" t="str">
        <f aca="false">'0. Tasklist'!$G$1</f>
        <v>Mã số: BM03-QT-OP-01</v>
      </c>
      <c r="G1" s="75"/>
    </row>
    <row r="2" s="76" customFormat="true" ht="17.25" hidden="false" customHeight="true" outlineLevel="0" collapsed="false">
      <c r="A2" s="73"/>
      <c r="B2" s="74"/>
      <c r="C2" s="74"/>
      <c r="D2" s="34"/>
      <c r="E2" s="34"/>
      <c r="F2" s="75" t="str">
        <f aca="false">'0. Tasklist'!$G$2</f>
        <v>Ngày hiệu lực: 10/09/2025</v>
      </c>
      <c r="G2" s="75"/>
    </row>
    <row r="3" s="76" customFormat="true" ht="17.25" hidden="false" customHeight="true" outlineLevel="0" collapsed="false">
      <c r="A3" s="73"/>
      <c r="B3" s="74"/>
      <c r="C3" s="74"/>
      <c r="D3" s="34"/>
      <c r="E3" s="34"/>
      <c r="F3" s="75" t="str">
        <f aca="false">'0. Tasklist'!$G$3</f>
        <v>Lần ban hành: 02</v>
      </c>
      <c r="G3" s="75"/>
    </row>
    <row r="4" s="58" customFormat="true" ht="7.5" hidden="false" customHeight="true" outlineLevel="0" collapsed="false"/>
    <row r="5" s="58" customFormat="true" ht="22.5" hidden="false" customHeight="true" outlineLevel="0" collapsed="false">
      <c r="B5" s="22" t="s">
        <v>75</v>
      </c>
      <c r="C5" s="22"/>
      <c r="D5" s="77" t="s">
        <v>76</v>
      </c>
      <c r="E5" s="77"/>
      <c r="F5" s="78" t="s">
        <v>13</v>
      </c>
      <c r="G5" s="79" t="s">
        <v>77</v>
      </c>
    </row>
    <row r="6" s="64" customFormat="true" ht="22.5" hidden="false" customHeight="true" outlineLevel="0" collapsed="false">
      <c r="A6" s="58"/>
      <c r="B6" s="22" t="s">
        <v>9</v>
      </c>
      <c r="C6" s="22"/>
      <c r="D6" s="77" t="s">
        <v>78</v>
      </c>
      <c r="E6" s="77"/>
      <c r="F6" s="78" t="s">
        <v>15</v>
      </c>
      <c r="G6" s="79" t="s">
        <v>79</v>
      </c>
      <c r="H6" s="58"/>
      <c r="I6" s="58"/>
      <c r="J6" s="58"/>
      <c r="K6" s="58"/>
      <c r="L6" s="72"/>
    </row>
    <row r="7" s="64" customFormat="true" ht="12.75" hidden="false" customHeight="false" outlineLevel="0" collapsed="false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</row>
    <row r="8" s="64" customFormat="true" ht="12.75" hidden="false" customHeight="false" outlineLevel="0" collapsed="false">
      <c r="A8" s="58"/>
      <c r="B8" s="58" t="s">
        <v>60</v>
      </c>
      <c r="C8" s="58"/>
      <c r="D8" s="58"/>
      <c r="E8" s="58"/>
      <c r="F8" s="58"/>
      <c r="G8" s="58"/>
      <c r="H8" s="58"/>
      <c r="I8" s="58"/>
      <c r="J8" s="58"/>
      <c r="K8" s="58"/>
      <c r="L8" s="58"/>
    </row>
    <row r="9" s="64" customFormat="true" ht="12.75" hidden="false" customHeight="true" outlineLevel="0" collapsed="false">
      <c r="A9" s="58"/>
      <c r="B9" s="80" t="s">
        <v>80</v>
      </c>
      <c r="C9" s="80"/>
      <c r="D9" s="81" t="s">
        <v>81</v>
      </c>
      <c r="E9" s="82"/>
      <c r="F9" s="83" t="s">
        <v>82</v>
      </c>
      <c r="G9" s="84"/>
      <c r="H9" s="58"/>
      <c r="I9" s="58"/>
    </row>
    <row r="10" s="64" customFormat="true" ht="12.75" hidden="false" customHeight="true" outlineLevel="0" collapsed="false">
      <c r="A10" s="58"/>
      <c r="B10" s="80" t="s">
        <v>83</v>
      </c>
      <c r="C10" s="80"/>
      <c r="D10" s="81" t="s">
        <v>84</v>
      </c>
      <c r="E10" s="82" t="s">
        <v>85</v>
      </c>
      <c r="F10" s="83" t="s">
        <v>83</v>
      </c>
      <c r="G10" s="84" t="s">
        <v>86</v>
      </c>
      <c r="H10" s="58"/>
      <c r="I10" s="58"/>
    </row>
    <row r="11" s="64" customFormat="true" ht="12.75" hidden="false" customHeight="true" outlineLevel="0" collapsed="false">
      <c r="A11" s="58"/>
      <c r="B11" s="80" t="s">
        <v>87</v>
      </c>
      <c r="C11" s="80"/>
      <c r="D11" s="81" t="s">
        <v>88</v>
      </c>
      <c r="E11" s="82" t="s">
        <v>89</v>
      </c>
      <c r="F11" s="83" t="s">
        <v>90</v>
      </c>
      <c r="G11" s="82" t="s">
        <v>89</v>
      </c>
      <c r="H11" s="58"/>
      <c r="I11" s="58"/>
    </row>
    <row r="12" s="64" customFormat="true" ht="12.75" hidden="false" customHeight="true" outlineLevel="0" collapsed="false">
      <c r="A12" s="58"/>
      <c r="B12" s="80" t="s">
        <v>91</v>
      </c>
      <c r="C12" s="80"/>
      <c r="D12" s="81" t="s">
        <v>92</v>
      </c>
      <c r="E12" s="82"/>
      <c r="F12" s="83" t="s">
        <v>93</v>
      </c>
      <c r="G12" s="84"/>
      <c r="H12" s="58"/>
      <c r="I12" s="58"/>
    </row>
    <row r="13" s="64" customFormat="true" ht="92.25" hidden="false" customHeight="true" outlineLevel="0" collapsed="false">
      <c r="A13" s="58"/>
      <c r="B13" s="85" t="s">
        <v>94</v>
      </c>
      <c r="C13" s="85"/>
      <c r="D13" s="81" t="s">
        <v>95</v>
      </c>
      <c r="E13" s="86" t="s">
        <v>96</v>
      </c>
      <c r="F13" s="86"/>
      <c r="G13" s="86"/>
      <c r="H13" s="58"/>
      <c r="I13" s="58"/>
    </row>
    <row r="14" s="64" customFormat="true" ht="171.75" hidden="false" customHeight="true" outlineLevel="0" collapsed="false">
      <c r="A14" s="58"/>
      <c r="B14" s="85"/>
      <c r="C14" s="85"/>
      <c r="D14" s="81" t="s">
        <v>97</v>
      </c>
      <c r="E14" s="86" t="s">
        <v>98</v>
      </c>
      <c r="F14" s="86"/>
      <c r="G14" s="86"/>
      <c r="H14" s="58"/>
      <c r="I14" s="58"/>
    </row>
    <row r="15" s="87" customFormat="true" ht="12.75" hidden="false" customHeight="true" outlineLevel="0" collapsed="false">
      <c r="B15" s="81" t="s">
        <v>99</v>
      </c>
      <c r="C15" s="81"/>
      <c r="D15" s="88" t="s">
        <v>100</v>
      </c>
      <c r="E15" s="89" t="s">
        <v>101</v>
      </c>
      <c r="F15" s="90" t="s">
        <v>102</v>
      </c>
      <c r="G15" s="90"/>
    </row>
    <row r="16" s="64" customFormat="true" ht="12.75" hidden="false" customHeight="false" outlineLevel="0" collapsed="false">
      <c r="A16" s="58"/>
      <c r="B16" s="81"/>
      <c r="C16" s="81"/>
      <c r="D16" s="91" t="n">
        <v>1</v>
      </c>
      <c r="E16" s="92"/>
      <c r="F16" s="91"/>
      <c r="G16" s="91"/>
      <c r="H16" s="58"/>
      <c r="I16" s="58"/>
    </row>
    <row r="17" s="64" customFormat="true" ht="12.75" hidden="false" customHeight="false" outlineLevel="0" collapsed="false">
      <c r="A17" s="58"/>
      <c r="B17" s="81"/>
      <c r="C17" s="81"/>
      <c r="D17" s="91" t="n">
        <v>2</v>
      </c>
      <c r="E17" s="92"/>
      <c r="F17" s="93"/>
      <c r="G17" s="94"/>
      <c r="H17" s="58"/>
      <c r="I17" s="58"/>
    </row>
    <row r="18" s="64" customFormat="true" ht="12.75" hidden="false" customHeight="false" outlineLevel="0" collapsed="false">
      <c r="A18" s="58"/>
      <c r="B18" s="81"/>
      <c r="C18" s="81"/>
      <c r="D18" s="91" t="n">
        <v>3</v>
      </c>
      <c r="E18" s="92"/>
      <c r="F18" s="93"/>
      <c r="G18" s="94"/>
      <c r="H18" s="58"/>
      <c r="I18" s="58"/>
    </row>
    <row r="19" s="64" customFormat="true" ht="12.75" hidden="false" customHeight="false" outlineLevel="0" collapsed="false">
      <c r="A19" s="58"/>
      <c r="B19" s="81"/>
      <c r="C19" s="81"/>
      <c r="D19" s="91" t="n">
        <v>4</v>
      </c>
      <c r="E19" s="92"/>
      <c r="F19" s="93"/>
      <c r="G19" s="94"/>
      <c r="H19" s="58"/>
      <c r="I19" s="58"/>
    </row>
    <row r="20" s="64" customFormat="true" ht="12.75" hidden="false" customHeight="false" outlineLevel="0" collapsed="false">
      <c r="A20" s="58"/>
      <c r="B20" s="81"/>
      <c r="C20" s="81"/>
      <c r="D20" s="91" t="n">
        <v>5</v>
      </c>
      <c r="E20" s="92"/>
      <c r="F20" s="91"/>
      <c r="G20" s="91"/>
      <c r="H20" s="58"/>
      <c r="I20" s="58"/>
    </row>
    <row r="21" s="64" customFormat="true" ht="12.75" hidden="false" customHeight="false" outlineLevel="0" collapsed="false">
      <c r="A21" s="58"/>
      <c r="H21" s="58"/>
      <c r="I21" s="58"/>
      <c r="J21" s="59"/>
    </row>
    <row r="22" s="58" customFormat="true" ht="12.75" hidden="false" customHeight="false" outlineLevel="0" collapsed="false">
      <c r="B22" s="58" t="s">
        <v>103</v>
      </c>
    </row>
    <row r="23" s="58" customFormat="true" ht="12.75" hidden="false" customHeight="false" outlineLevel="0" collapsed="false">
      <c r="B23" s="58" t="s">
        <v>104</v>
      </c>
    </row>
    <row r="24" s="58" customFormat="true" ht="12.75" hidden="false" customHeight="false" outlineLevel="0" collapsed="false">
      <c r="B24" s="29" t="s">
        <v>54</v>
      </c>
      <c r="C24" s="65" t="s">
        <v>105</v>
      </c>
      <c r="D24" s="95" t="s">
        <v>106</v>
      </c>
      <c r="E24" s="95" t="s">
        <v>107</v>
      </c>
    </row>
    <row r="25" s="58" customFormat="true" ht="12.75" hidden="false" customHeight="false" outlineLevel="0" collapsed="false">
      <c r="B25" s="66" t="n">
        <v>1</v>
      </c>
      <c r="C25" s="96" t="s">
        <v>108</v>
      </c>
      <c r="D25" s="97" t="s">
        <v>109</v>
      </c>
      <c r="E25" s="97" t="s">
        <v>109</v>
      </c>
    </row>
    <row r="26" s="58" customFormat="true" ht="12.75" hidden="false" customHeight="false" outlineLevel="0" collapsed="false">
      <c r="B26" s="66" t="n">
        <v>2</v>
      </c>
      <c r="C26" s="96" t="s">
        <v>110</v>
      </c>
      <c r="D26" s="97" t="s">
        <v>109</v>
      </c>
      <c r="E26" s="97" t="s">
        <v>109</v>
      </c>
    </row>
    <row r="27" s="58" customFormat="true" ht="12.75" hidden="false" customHeight="false" outlineLevel="0" collapsed="false">
      <c r="B27" s="66" t="n">
        <v>3</v>
      </c>
      <c r="C27" s="96" t="s">
        <v>111</v>
      </c>
      <c r="D27" s="97" t="s">
        <v>109</v>
      </c>
      <c r="E27" s="97" t="s">
        <v>109</v>
      </c>
    </row>
    <row r="28" customFormat="false" ht="12.75" hidden="false" customHeight="false" outlineLevel="0" collapsed="false">
      <c r="B28" s="66" t="n">
        <v>4</v>
      </c>
      <c r="C28" s="96" t="s">
        <v>112</v>
      </c>
      <c r="D28" s="97" t="s">
        <v>54</v>
      </c>
      <c r="E28" s="97" t="s">
        <v>109</v>
      </c>
    </row>
    <row r="29" customFormat="false" ht="12.75" hidden="false" customHeight="false" outlineLevel="0" collapsed="false">
      <c r="B29" s="66" t="n">
        <v>5</v>
      </c>
      <c r="C29" s="96" t="s">
        <v>113</v>
      </c>
      <c r="D29" s="97" t="s">
        <v>109</v>
      </c>
      <c r="E29" s="97" t="s">
        <v>109</v>
      </c>
    </row>
    <row r="30" customFormat="false" ht="12.75" hidden="false" customHeight="false" outlineLevel="0" collapsed="false">
      <c r="B30" s="66" t="n">
        <v>6</v>
      </c>
      <c r="C30" s="96" t="s">
        <v>114</v>
      </c>
      <c r="D30" s="97" t="s">
        <v>54</v>
      </c>
      <c r="E30" s="97" t="s">
        <v>109</v>
      </c>
    </row>
    <row r="31" customFormat="false" ht="12.75" hidden="false" customHeight="false" outlineLevel="0" collapsed="false">
      <c r="B31" s="66" t="n">
        <v>7</v>
      </c>
      <c r="C31" s="96" t="s">
        <v>115</v>
      </c>
      <c r="D31" s="97" t="s">
        <v>109</v>
      </c>
      <c r="E31" s="97" t="s">
        <v>109</v>
      </c>
    </row>
    <row r="32" customFormat="false" ht="12.75" hidden="false" customHeight="false" outlineLevel="0" collapsed="false">
      <c r="B32" s="66" t="n">
        <v>8</v>
      </c>
      <c r="C32" s="96" t="s">
        <v>116</v>
      </c>
      <c r="D32" s="97" t="s">
        <v>109</v>
      </c>
      <c r="E32" s="97" t="s">
        <v>109</v>
      </c>
    </row>
    <row r="33" customFormat="false" ht="12.75" hidden="false" customHeight="false" outlineLevel="0" collapsed="false">
      <c r="B33" s="66" t="n">
        <v>9</v>
      </c>
      <c r="C33" s="96" t="s">
        <v>117</v>
      </c>
      <c r="D33" s="97" t="s">
        <v>109</v>
      </c>
      <c r="E33" s="97" t="s">
        <v>109</v>
      </c>
    </row>
    <row r="35" customFormat="false" ht="12.75" hidden="false" customHeight="false" outlineLevel="0" collapsed="false">
      <c r="B35" s="58" t="s">
        <v>118</v>
      </c>
    </row>
    <row r="36" customFormat="false" ht="12.75" hidden="false" customHeight="false" outlineLevel="0" collapsed="false">
      <c r="B36" s="29" t="s">
        <v>54</v>
      </c>
      <c r="C36" s="29" t="s">
        <v>119</v>
      </c>
      <c r="D36" s="29" t="s">
        <v>120</v>
      </c>
    </row>
    <row r="37" customFormat="false" ht="12.75" hidden="false" customHeight="false" outlineLevel="0" collapsed="false">
      <c r="B37" s="66" t="n">
        <v>1</v>
      </c>
      <c r="C37" s="98" t="s">
        <v>121</v>
      </c>
      <c r="D37" s="91" t="s">
        <v>109</v>
      </c>
    </row>
    <row r="38" customFormat="false" ht="12.75" hidden="false" customHeight="false" outlineLevel="0" collapsed="false">
      <c r="B38" s="66" t="n">
        <v>2</v>
      </c>
      <c r="C38" s="98" t="s">
        <v>122</v>
      </c>
      <c r="D38" s="91" t="s">
        <v>109</v>
      </c>
    </row>
    <row r="39" customFormat="false" ht="12.75" hidden="false" customHeight="false" outlineLevel="0" collapsed="false">
      <c r="B39" s="66" t="n">
        <v>3</v>
      </c>
      <c r="C39" s="98" t="s">
        <v>123</v>
      </c>
      <c r="D39" s="91" t="s">
        <v>109</v>
      </c>
    </row>
    <row r="40" customFormat="false" ht="12.75" hidden="false" customHeight="false" outlineLevel="0" collapsed="false">
      <c r="B40" s="66" t="n">
        <v>4</v>
      </c>
      <c r="C40" s="98" t="s">
        <v>124</v>
      </c>
      <c r="D40" s="91" t="s">
        <v>109</v>
      </c>
    </row>
    <row r="42" customFormat="false" ht="12.75" hidden="false" customHeight="false" outlineLevel="0" collapsed="false">
      <c r="B42" s="58" t="s">
        <v>125</v>
      </c>
    </row>
    <row r="43" customFormat="false" ht="12.75" hidden="false" customHeight="false" outlineLevel="0" collapsed="false">
      <c r="B43" s="29" t="s">
        <v>54</v>
      </c>
      <c r="C43" s="29" t="s">
        <v>126</v>
      </c>
      <c r="D43" s="99" t="s">
        <v>101</v>
      </c>
      <c r="E43" s="99"/>
    </row>
    <row r="44" customFormat="false" ht="12.75" hidden="false" customHeight="false" outlineLevel="0" collapsed="false">
      <c r="B44" s="66" t="n">
        <v>1</v>
      </c>
      <c r="C44" s="100" t="s">
        <v>127</v>
      </c>
      <c r="D44" s="101" t="s">
        <v>128</v>
      </c>
      <c r="E44" s="101"/>
    </row>
    <row r="45" customFormat="false" ht="12.75" hidden="false" customHeight="false" outlineLevel="0" collapsed="false">
      <c r="B45" s="66" t="n">
        <v>2</v>
      </c>
      <c r="C45" s="100" t="s">
        <v>129</v>
      </c>
      <c r="D45" s="101" t="s">
        <v>130</v>
      </c>
      <c r="E45" s="101"/>
    </row>
    <row r="46" customFormat="false" ht="12.75" hidden="false" customHeight="false" outlineLevel="0" collapsed="false">
      <c r="B46" s="66" t="n">
        <v>3</v>
      </c>
      <c r="C46" s="100" t="s">
        <v>131</v>
      </c>
      <c r="D46" s="101" t="s">
        <v>132</v>
      </c>
      <c r="E46" s="101"/>
    </row>
    <row r="47" customFormat="false" ht="12.75" hidden="false" customHeight="false" outlineLevel="0" collapsed="false">
      <c r="B47" s="66" t="n">
        <v>4</v>
      </c>
      <c r="C47" s="98"/>
      <c r="D47" s="101"/>
      <c r="E47" s="101"/>
    </row>
    <row r="49" customFormat="false" ht="12.75" hidden="false" customHeight="false" outlineLevel="0" collapsed="false">
      <c r="B49" s="58" t="s">
        <v>133</v>
      </c>
    </row>
    <row r="50" customFormat="false" ht="12.75" hidden="false" customHeight="true" outlineLevel="0" collapsed="false">
      <c r="B50" s="29" t="s">
        <v>54</v>
      </c>
      <c r="C50" s="29" t="s">
        <v>134</v>
      </c>
      <c r="D50" s="99" t="s">
        <v>135</v>
      </c>
      <c r="E50" s="99"/>
      <c r="F50" s="65" t="s">
        <v>105</v>
      </c>
      <c r="G50" s="29" t="s">
        <v>59</v>
      </c>
    </row>
    <row r="51" customFormat="false" ht="12.75" hidden="false" customHeight="false" outlineLevel="0" collapsed="false">
      <c r="B51" s="66" t="n">
        <v>1</v>
      </c>
      <c r="C51" s="102" t="s">
        <v>136</v>
      </c>
      <c r="D51" s="101"/>
      <c r="E51" s="101"/>
      <c r="F51" s="86" t="s">
        <v>112</v>
      </c>
      <c r="G51" s="103" t="s">
        <v>137</v>
      </c>
    </row>
    <row r="52" customFormat="false" ht="12.75" hidden="false" customHeight="false" outlineLevel="0" collapsed="false">
      <c r="B52" s="66" t="n">
        <v>2</v>
      </c>
      <c r="C52" s="102"/>
      <c r="D52" s="101"/>
      <c r="E52" s="101"/>
      <c r="F52" s="86"/>
      <c r="G52" s="103" t="s">
        <v>137</v>
      </c>
    </row>
    <row r="53" customFormat="false" ht="12.75" hidden="false" customHeight="false" outlineLevel="0" collapsed="false">
      <c r="B53" s="66" t="n">
        <v>3</v>
      </c>
      <c r="C53" s="102"/>
      <c r="D53" s="101"/>
      <c r="E53" s="101"/>
      <c r="F53" s="86"/>
      <c r="G53" s="103" t="s">
        <v>137</v>
      </c>
    </row>
    <row r="54" customFormat="false" ht="12.75" hidden="false" customHeight="false" outlineLevel="0" collapsed="false">
      <c r="B54" s="66" t="n">
        <v>4</v>
      </c>
      <c r="C54" s="102"/>
      <c r="D54" s="101"/>
      <c r="E54" s="101"/>
      <c r="F54" s="86"/>
      <c r="G54" s="103" t="s">
        <v>137</v>
      </c>
    </row>
    <row r="55" customFormat="false" ht="12.75" hidden="false" customHeight="false" outlineLevel="0" collapsed="false">
      <c r="B55" s="66" t="n">
        <v>5</v>
      </c>
      <c r="C55" s="102"/>
      <c r="D55" s="101"/>
      <c r="E55" s="101"/>
      <c r="F55" s="86"/>
      <c r="G55" s="103" t="s">
        <v>137</v>
      </c>
    </row>
    <row r="57" customFormat="false" ht="12.75" hidden="false" customHeight="false" outlineLevel="0" collapsed="false">
      <c r="B57" s="58" t="s">
        <v>138</v>
      </c>
    </row>
    <row r="58" customFormat="false" ht="15" hidden="false" customHeight="true" outlineLevel="0" collapsed="false">
      <c r="B58" s="29" t="s">
        <v>54</v>
      </c>
      <c r="C58" s="29" t="s">
        <v>139</v>
      </c>
      <c r="D58" s="29" t="s">
        <v>101</v>
      </c>
      <c r="E58" s="29"/>
      <c r="F58" s="104" t="s">
        <v>140</v>
      </c>
      <c r="G58" s="104" t="s">
        <v>141</v>
      </c>
      <c r="H58" s="29" t="s">
        <v>59</v>
      </c>
    </row>
    <row r="59" customFormat="false" ht="12.75" hidden="false" customHeight="false" outlineLevel="0" collapsed="false">
      <c r="B59" s="66" t="n">
        <v>1</v>
      </c>
      <c r="C59" s="66"/>
      <c r="D59" s="105"/>
      <c r="E59" s="105"/>
      <c r="F59" s="106" t="s">
        <v>142</v>
      </c>
      <c r="G59" s="106" t="s">
        <v>142</v>
      </c>
      <c r="H59" s="103" t="s">
        <v>137</v>
      </c>
    </row>
    <row r="60" customFormat="false" ht="12.75" hidden="false" customHeight="false" outlineLevel="0" collapsed="false">
      <c r="B60" s="66" t="n">
        <v>2</v>
      </c>
      <c r="C60" s="66"/>
      <c r="D60" s="105"/>
      <c r="E60" s="105"/>
      <c r="F60" s="106" t="s">
        <v>142</v>
      </c>
      <c r="G60" s="106" t="s">
        <v>142</v>
      </c>
      <c r="H60" s="103" t="s">
        <v>137</v>
      </c>
    </row>
    <row r="61" customFormat="false" ht="12.75" hidden="false" customHeight="false" outlineLevel="0" collapsed="false">
      <c r="B61" s="66" t="n">
        <v>3</v>
      </c>
      <c r="C61" s="66"/>
      <c r="D61" s="105"/>
      <c r="E61" s="105"/>
      <c r="F61" s="106" t="s">
        <v>142</v>
      </c>
      <c r="G61" s="106" t="s">
        <v>142</v>
      </c>
      <c r="H61" s="103" t="s">
        <v>137</v>
      </c>
    </row>
    <row r="62" customFormat="false" ht="12.75" hidden="false" customHeight="false" outlineLevel="0" collapsed="false">
      <c r="B62" s="66" t="n">
        <v>4</v>
      </c>
      <c r="C62" s="66"/>
      <c r="D62" s="105"/>
      <c r="E62" s="105"/>
      <c r="F62" s="106" t="s">
        <v>142</v>
      </c>
      <c r="G62" s="106" t="s">
        <v>142</v>
      </c>
      <c r="H62" s="103" t="s">
        <v>137</v>
      </c>
    </row>
    <row r="63" customFormat="false" ht="12.75" hidden="false" customHeight="false" outlineLevel="0" collapsed="false">
      <c r="B63" s="66" t="n">
        <v>5</v>
      </c>
      <c r="C63" s="66"/>
      <c r="D63" s="105"/>
      <c r="E63" s="105"/>
      <c r="F63" s="106" t="s">
        <v>142</v>
      </c>
      <c r="G63" s="106" t="s">
        <v>142</v>
      </c>
      <c r="H63" s="103" t="s">
        <v>137</v>
      </c>
    </row>
    <row r="64" customFormat="false" ht="13.5" hidden="false" customHeight="true" outlineLevel="0" collapsed="false"/>
    <row r="65" s="107" customFormat="true" ht="13.5" hidden="false" customHeight="true" outlineLevel="0" collapsed="false">
      <c r="B65" s="107" t="s">
        <v>143</v>
      </c>
      <c r="H65" s="108"/>
    </row>
    <row r="66" s="107" customFormat="true" ht="13.5" hidden="false" customHeight="true" outlineLevel="0" collapsed="false">
      <c r="B66" s="104" t="s">
        <v>54</v>
      </c>
      <c r="C66" s="104" t="s">
        <v>144</v>
      </c>
      <c r="D66" s="104" t="s">
        <v>101</v>
      </c>
      <c r="E66" s="104"/>
      <c r="F66" s="104" t="s">
        <v>140</v>
      </c>
      <c r="G66" s="104" t="s">
        <v>141</v>
      </c>
      <c r="H66" s="104" t="s">
        <v>59</v>
      </c>
    </row>
    <row r="67" s="107" customFormat="true" ht="13.5" hidden="false" customHeight="true" outlineLevel="0" collapsed="false">
      <c r="B67" s="109" t="n">
        <v>1</v>
      </c>
      <c r="C67" s="109" t="s">
        <v>145</v>
      </c>
      <c r="D67" s="110"/>
      <c r="E67" s="110"/>
      <c r="F67" s="106" t="s">
        <v>142</v>
      </c>
      <c r="G67" s="106" t="s">
        <v>142</v>
      </c>
      <c r="H67" s="111" t="s">
        <v>137</v>
      </c>
    </row>
    <row r="68" s="107" customFormat="true" ht="13.5" hidden="false" customHeight="true" outlineLevel="0" collapsed="false">
      <c r="B68" s="109" t="n">
        <v>2</v>
      </c>
      <c r="C68" s="109"/>
      <c r="D68" s="110"/>
      <c r="E68" s="110"/>
      <c r="F68" s="106" t="s">
        <v>142</v>
      </c>
      <c r="G68" s="106" t="s">
        <v>142</v>
      </c>
      <c r="H68" s="111" t="s">
        <v>137</v>
      </c>
    </row>
    <row r="69" s="107" customFormat="true" ht="13.5" hidden="false" customHeight="true" outlineLevel="0" collapsed="false">
      <c r="B69" s="109" t="n">
        <v>3</v>
      </c>
      <c r="C69" s="109"/>
      <c r="D69" s="110"/>
      <c r="E69" s="110"/>
      <c r="F69" s="106" t="s">
        <v>142</v>
      </c>
      <c r="G69" s="106" t="s">
        <v>142</v>
      </c>
      <c r="H69" s="111" t="s">
        <v>137</v>
      </c>
    </row>
    <row r="70" s="107" customFormat="true" ht="13.5" hidden="false" customHeight="true" outlineLevel="0" collapsed="false">
      <c r="B70" s="109" t="n">
        <v>4</v>
      </c>
      <c r="C70" s="109"/>
      <c r="D70" s="110"/>
      <c r="E70" s="110"/>
      <c r="F70" s="106" t="s">
        <v>142</v>
      </c>
      <c r="G70" s="106" t="s">
        <v>142</v>
      </c>
      <c r="H70" s="111" t="s">
        <v>137</v>
      </c>
    </row>
    <row r="71" s="107" customFormat="true" ht="13.5" hidden="false" customHeight="true" outlineLevel="0" collapsed="false">
      <c r="B71" s="109" t="n">
        <v>5</v>
      </c>
      <c r="C71" s="109"/>
      <c r="D71" s="110"/>
      <c r="E71" s="110"/>
      <c r="F71" s="106" t="s">
        <v>142</v>
      </c>
      <c r="G71" s="106" t="s">
        <v>142</v>
      </c>
      <c r="H71" s="111" t="s">
        <v>137</v>
      </c>
    </row>
    <row r="72" customFormat="false" ht="13.5" hidden="false" customHeight="true" outlineLevel="0" collapsed="false">
      <c r="B72" s="112"/>
      <c r="C72" s="112"/>
      <c r="D72" s="59"/>
      <c r="E72" s="59"/>
      <c r="F72" s="113"/>
      <c r="G72" s="113"/>
      <c r="H72" s="113"/>
    </row>
    <row r="73" customFormat="false" ht="12.75" hidden="false" customHeight="false" outlineLevel="0" collapsed="false">
      <c r="B73" s="107" t="s">
        <v>146</v>
      </c>
      <c r="C73" s="107"/>
      <c r="D73" s="107"/>
      <c r="E73" s="107"/>
      <c r="F73" s="107"/>
    </row>
    <row r="74" customFormat="false" ht="12.75" hidden="false" customHeight="false" outlineLevel="0" collapsed="false">
      <c r="B74" s="29" t="s">
        <v>54</v>
      </c>
      <c r="C74" s="29" t="s">
        <v>126</v>
      </c>
      <c r="D74" s="99" t="s">
        <v>101</v>
      </c>
      <c r="E74" s="99"/>
      <c r="F74" s="65" t="s">
        <v>105</v>
      </c>
      <c r="G74" s="104" t="s">
        <v>59</v>
      </c>
    </row>
    <row r="75" s="114" customFormat="true" ht="36" hidden="false" customHeight="true" outlineLevel="0" collapsed="false">
      <c r="B75" s="115" t="n">
        <v>1</v>
      </c>
      <c r="C75" s="116" t="s">
        <v>147</v>
      </c>
      <c r="D75" s="116" t="s">
        <v>148</v>
      </c>
      <c r="E75" s="116"/>
      <c r="F75" s="116" t="s">
        <v>112</v>
      </c>
      <c r="G75" s="117" t="s">
        <v>137</v>
      </c>
      <c r="H75" s="118"/>
    </row>
    <row r="76" s="114" customFormat="true" ht="36" hidden="false" customHeight="true" outlineLevel="0" collapsed="false">
      <c r="B76" s="115" t="n">
        <v>2</v>
      </c>
      <c r="C76" s="116" t="s">
        <v>149</v>
      </c>
      <c r="D76" s="116" t="s">
        <v>150</v>
      </c>
      <c r="E76" s="116"/>
      <c r="F76" s="116" t="s">
        <v>113</v>
      </c>
      <c r="G76" s="117" t="s">
        <v>137</v>
      </c>
      <c r="H76" s="118"/>
    </row>
    <row r="77" s="114" customFormat="true" ht="21.75" hidden="false" customHeight="true" outlineLevel="0" collapsed="false">
      <c r="B77" s="115" t="n">
        <v>3</v>
      </c>
      <c r="C77" s="116" t="s">
        <v>151</v>
      </c>
      <c r="D77" s="116" t="s">
        <v>152</v>
      </c>
      <c r="E77" s="116"/>
      <c r="F77" s="116" t="s">
        <v>114</v>
      </c>
      <c r="G77" s="117" t="s">
        <v>137</v>
      </c>
      <c r="H77" s="118"/>
    </row>
    <row r="78" s="114" customFormat="true" ht="31.5" hidden="false" customHeight="true" outlineLevel="0" collapsed="false">
      <c r="B78" s="115" t="n">
        <v>4</v>
      </c>
      <c r="C78" s="116" t="s">
        <v>153</v>
      </c>
      <c r="D78" s="116" t="s">
        <v>154</v>
      </c>
      <c r="E78" s="116"/>
      <c r="F78" s="116" t="s">
        <v>114</v>
      </c>
      <c r="G78" s="117" t="s">
        <v>137</v>
      </c>
      <c r="H78" s="118"/>
    </row>
    <row r="79" customFormat="false" ht="30.75" hidden="false" customHeight="true" outlineLevel="0" collapsed="false">
      <c r="B79" s="115" t="n">
        <v>5</v>
      </c>
      <c r="C79" s="116" t="s">
        <v>155</v>
      </c>
      <c r="D79" s="116" t="s">
        <v>156</v>
      </c>
      <c r="E79" s="116"/>
      <c r="F79" s="116" t="s">
        <v>117</v>
      </c>
      <c r="G79" s="117" t="s">
        <v>137</v>
      </c>
    </row>
    <row r="80" customFormat="false" ht="12.75" hidden="false" customHeight="false" outlineLevel="0" collapsed="false">
      <c r="B80" s="107"/>
      <c r="C80" s="107"/>
      <c r="D80" s="107"/>
      <c r="E80" s="107"/>
      <c r="F80" s="107"/>
    </row>
    <row r="81" customFormat="false" ht="12.75" hidden="false" customHeight="false" outlineLevel="0" collapsed="false">
      <c r="B81" s="107" t="s">
        <v>157</v>
      </c>
      <c r="C81" s="107"/>
      <c r="D81" s="107"/>
      <c r="E81" s="107"/>
      <c r="F81" s="107"/>
    </row>
    <row r="82" customFormat="false" ht="12.75" hidden="false" customHeight="false" outlineLevel="0" collapsed="false">
      <c r="B82" s="119" t="s">
        <v>158</v>
      </c>
      <c r="C82" s="107"/>
      <c r="D82" s="107"/>
      <c r="E82" s="107"/>
      <c r="F82" s="107"/>
    </row>
    <row r="83" customFormat="false" ht="12.75" hidden="false" customHeight="false" outlineLevel="0" collapsed="false">
      <c r="B83" s="29" t="s">
        <v>54</v>
      </c>
      <c r="C83" s="29" t="s">
        <v>126</v>
      </c>
      <c r="D83" s="99" t="s">
        <v>101</v>
      </c>
      <c r="E83" s="99"/>
      <c r="F83" s="65" t="s">
        <v>105</v>
      </c>
      <c r="G83" s="104" t="s">
        <v>59</v>
      </c>
    </row>
    <row r="84" customFormat="false" ht="33" hidden="false" customHeight="true" outlineLevel="0" collapsed="false">
      <c r="B84" s="109" t="n">
        <v>1</v>
      </c>
      <c r="C84" s="120" t="s">
        <v>159</v>
      </c>
      <c r="D84" s="120" t="s">
        <v>160</v>
      </c>
      <c r="E84" s="120"/>
      <c r="F84" s="120" t="s">
        <v>112</v>
      </c>
      <c r="G84" s="111" t="s">
        <v>137</v>
      </c>
    </row>
    <row r="85" customFormat="false" ht="33" hidden="false" customHeight="true" outlineLevel="0" collapsed="false">
      <c r="B85" s="109" t="n">
        <v>2</v>
      </c>
      <c r="C85" s="120" t="s">
        <v>161</v>
      </c>
      <c r="D85" s="120" t="s">
        <v>162</v>
      </c>
      <c r="E85" s="120"/>
      <c r="F85" s="120" t="s">
        <v>114</v>
      </c>
      <c r="G85" s="111" t="s">
        <v>137</v>
      </c>
    </row>
    <row r="86" customFormat="false" ht="33" hidden="false" customHeight="true" outlineLevel="0" collapsed="false">
      <c r="B86" s="109" t="n">
        <v>3</v>
      </c>
      <c r="C86" s="120" t="s">
        <v>163</v>
      </c>
      <c r="D86" s="120" t="s">
        <v>164</v>
      </c>
      <c r="E86" s="120"/>
      <c r="F86" s="120" t="s">
        <v>114</v>
      </c>
      <c r="G86" s="111" t="s">
        <v>137</v>
      </c>
    </row>
    <row r="87" customFormat="false" ht="33" hidden="false" customHeight="true" outlineLevel="0" collapsed="false">
      <c r="B87" s="109" t="n">
        <v>4</v>
      </c>
      <c r="C87" s="120" t="s">
        <v>165</v>
      </c>
      <c r="D87" s="120" t="s">
        <v>166</v>
      </c>
      <c r="E87" s="120"/>
      <c r="F87" s="120" t="s">
        <v>113</v>
      </c>
      <c r="G87" s="111" t="s">
        <v>137</v>
      </c>
    </row>
    <row r="88" customFormat="false" ht="33" hidden="false" customHeight="true" outlineLevel="0" collapsed="false">
      <c r="B88" s="109" t="n">
        <v>5</v>
      </c>
      <c r="C88" s="120" t="s">
        <v>167</v>
      </c>
      <c r="D88" s="120" t="s">
        <v>168</v>
      </c>
      <c r="E88" s="120"/>
      <c r="F88" s="120" t="s">
        <v>169</v>
      </c>
      <c r="G88" s="111" t="s">
        <v>137</v>
      </c>
    </row>
  </sheetData>
  <mergeCells count="55">
    <mergeCell ref="B1:C3"/>
    <mergeCell ref="D1:E3"/>
    <mergeCell ref="F1:G1"/>
    <mergeCell ref="F2:G2"/>
    <mergeCell ref="F3:G3"/>
    <mergeCell ref="B5:C5"/>
    <mergeCell ref="D5:E5"/>
    <mergeCell ref="B6:C6"/>
    <mergeCell ref="D6:E6"/>
    <mergeCell ref="B9:C9"/>
    <mergeCell ref="B10:C10"/>
    <mergeCell ref="B11:C11"/>
    <mergeCell ref="B12:C12"/>
    <mergeCell ref="B13:C14"/>
    <mergeCell ref="E13:G13"/>
    <mergeCell ref="E14:G14"/>
    <mergeCell ref="B15:C20"/>
    <mergeCell ref="F15:G15"/>
    <mergeCell ref="F16:G16"/>
    <mergeCell ref="F20:G20"/>
    <mergeCell ref="D43:E43"/>
    <mergeCell ref="D44:E44"/>
    <mergeCell ref="D45:E45"/>
    <mergeCell ref="D46:E46"/>
    <mergeCell ref="D47:E47"/>
    <mergeCell ref="D50:E50"/>
    <mergeCell ref="D51:E51"/>
    <mergeCell ref="D52:E52"/>
    <mergeCell ref="D53:E53"/>
    <mergeCell ref="D54:E54"/>
    <mergeCell ref="D55:E55"/>
    <mergeCell ref="D58:E58"/>
    <mergeCell ref="D59:E59"/>
    <mergeCell ref="D60:E60"/>
    <mergeCell ref="D61:E61"/>
    <mergeCell ref="D62:E62"/>
    <mergeCell ref="D63:E63"/>
    <mergeCell ref="D66:E66"/>
    <mergeCell ref="D67:E67"/>
    <mergeCell ref="D68:E68"/>
    <mergeCell ref="D69:E69"/>
    <mergeCell ref="D70:E70"/>
    <mergeCell ref="D71:E71"/>
    <mergeCell ref="D74:E74"/>
    <mergeCell ref="D75:E75"/>
    <mergeCell ref="D76:E76"/>
    <mergeCell ref="D77:E77"/>
    <mergeCell ref="D78:E78"/>
    <mergeCell ref="D79:E79"/>
    <mergeCell ref="D83:E83"/>
    <mergeCell ref="D84:E84"/>
    <mergeCell ref="D85:E85"/>
    <mergeCell ref="D86:E86"/>
    <mergeCell ref="D87:E87"/>
    <mergeCell ref="D88:E88"/>
  </mergeCells>
  <dataValidations count="4">
    <dataValidation allowBlank="true" errorStyle="stop" operator="between" showDropDown="false" showErrorMessage="true" showInputMessage="true" sqref="G10" type="list">
      <formula1>"New Development,System Enhancement,Maintenance"</formula1>
      <formula2>0</formula2>
    </dataValidation>
    <dataValidation allowBlank="true" errorStyle="stop" operator="between" showDropDown="false" showErrorMessage="true" showInputMessage="true" sqref="E10" type="list">
      <formula1>"Fixed Price,LABO"</formula1>
      <formula2>0</formula2>
    </dataValidation>
    <dataValidation allowBlank="true" errorStyle="stop" operator="between" showDropDown="false" showErrorMessage="true" showInputMessage="true" sqref="G51:G55 H59:H63 H67:H71 G75:G79 G84:G88" type="list">
      <formula1>"Done,Delayed"</formula1>
      <formula2>0</formula2>
    </dataValidation>
    <dataValidation allowBlank="true" errorStyle="stop" operator="between" showDropDown="false" showErrorMessage="true" showInputMessage="true" sqref="F51:F55 F75:F79 F84:F88" type="list">
      <formula1>Master!$F$4:$F$13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A1" activeCellId="1" sqref="H75:H78 A1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6.29"/>
    <col collapsed="false" customWidth="true" hidden="false" outlineLevel="0" max="3" min="3" style="58" width="27.42"/>
    <col collapsed="false" customWidth="true" hidden="false" outlineLevel="0" max="4" min="4" style="58" width="18.29"/>
    <col collapsed="false" customWidth="true" hidden="false" outlineLevel="0" max="9" min="5" style="58" width="15.85"/>
    <col collapsed="false" customWidth="true" hidden="false" outlineLevel="0" max="11" min="10" style="58" width="16.29"/>
    <col collapsed="false" customWidth="true" hidden="false" outlineLevel="0" max="12" min="12" style="58" width="8.57"/>
    <col collapsed="false" customWidth="false" hidden="false" outlineLevel="0" max="16384" min="13" style="58" width="9"/>
  </cols>
  <sheetData>
    <row r="1" customFormat="false" ht="17.25" hidden="false" customHeight="true" outlineLevel="0" collapsed="false">
      <c r="A1" s="60" t="s">
        <v>37</v>
      </c>
      <c r="B1" s="61"/>
      <c r="C1" s="61"/>
      <c r="D1" s="62" t="s">
        <v>170</v>
      </c>
      <c r="E1" s="62"/>
      <c r="F1" s="62"/>
      <c r="G1" s="62"/>
      <c r="H1" s="62"/>
      <c r="I1" s="62"/>
      <c r="J1" s="75" t="str">
        <f aca="false">'0. Tasklist'!$G$1</f>
        <v>Mã số: BM03-QT-OP-01</v>
      </c>
      <c r="K1" s="75"/>
    </row>
    <row r="2" customFormat="false" ht="17.25" hidden="false" customHeight="true" outlineLevel="0" collapsed="false">
      <c r="A2" s="60"/>
      <c r="B2" s="61"/>
      <c r="C2" s="61"/>
      <c r="D2" s="62"/>
      <c r="E2" s="62"/>
      <c r="F2" s="62"/>
      <c r="G2" s="62"/>
      <c r="H2" s="62"/>
      <c r="I2" s="62"/>
      <c r="J2" s="75" t="str">
        <f aca="false">'0. Tasklist'!$G$2</f>
        <v>Ngày hiệu lực: 10/09/2025</v>
      </c>
      <c r="K2" s="75"/>
    </row>
    <row r="3" customFormat="false" ht="17.25" hidden="false" customHeight="true" outlineLevel="0" collapsed="false">
      <c r="A3" s="60"/>
      <c r="B3" s="61"/>
      <c r="C3" s="61"/>
      <c r="D3" s="62"/>
      <c r="E3" s="62"/>
      <c r="F3" s="62"/>
      <c r="G3" s="62"/>
      <c r="H3" s="62"/>
      <c r="I3" s="62"/>
      <c r="J3" s="75" t="str">
        <f aca="false">'0. Tasklist'!$G$3</f>
        <v>Lần ban hành: 02</v>
      </c>
      <c r="K3" s="75"/>
    </row>
    <row r="4" customFormat="false" ht="9" hidden="false" customHeight="true" outlineLevel="0" collapsed="false">
      <c r="D4" s="121"/>
      <c r="E4" s="121"/>
      <c r="F4" s="121"/>
      <c r="G4" s="121"/>
      <c r="H4" s="121"/>
      <c r="I4" s="121"/>
      <c r="J4" s="121"/>
      <c r="K4" s="121"/>
    </row>
    <row r="5" s="64" customFormat="true" ht="12.75" hidden="false" customHeight="false" outlineLevel="0" collapsed="false">
      <c r="A5" s="58"/>
      <c r="B5" s="58" t="s">
        <v>171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6" s="64" customFormat="true" ht="12.75" hidden="false" customHeight="true" outlineLevel="0" collapsed="false">
      <c r="A6" s="58"/>
      <c r="B6" s="29" t="s">
        <v>54</v>
      </c>
      <c r="C6" s="29" t="s">
        <v>25</v>
      </c>
      <c r="D6" s="29" t="s">
        <v>172</v>
      </c>
      <c r="E6" s="29" t="s">
        <v>173</v>
      </c>
      <c r="F6" s="29" t="s">
        <v>174</v>
      </c>
      <c r="G6" s="29"/>
      <c r="H6" s="29"/>
      <c r="I6" s="29"/>
      <c r="J6" s="58"/>
      <c r="K6" s="58"/>
      <c r="L6" s="59"/>
    </row>
    <row r="7" s="64" customFormat="true" ht="12.75" hidden="false" customHeight="false" outlineLevel="0" collapsed="false">
      <c r="A7" s="58"/>
      <c r="B7" s="66" t="n">
        <v>1</v>
      </c>
      <c r="C7" s="122" t="s">
        <v>13</v>
      </c>
      <c r="D7" s="122" t="s">
        <v>17</v>
      </c>
      <c r="E7" s="122" t="s">
        <v>107</v>
      </c>
      <c r="F7" s="123" t="s">
        <v>175</v>
      </c>
      <c r="G7" s="123"/>
      <c r="H7" s="123"/>
      <c r="I7" s="123"/>
      <c r="J7" s="58"/>
      <c r="K7" s="58"/>
    </row>
    <row r="8" s="64" customFormat="true" ht="12.75" hidden="false" customHeight="false" outlineLevel="0" collapsed="false">
      <c r="A8" s="58"/>
      <c r="B8" s="66" t="n">
        <v>2</v>
      </c>
      <c r="C8" s="122" t="s">
        <v>176</v>
      </c>
      <c r="D8" s="122" t="s">
        <v>177</v>
      </c>
      <c r="E8" s="122" t="s">
        <v>107</v>
      </c>
      <c r="F8" s="123" t="s">
        <v>175</v>
      </c>
      <c r="G8" s="123"/>
      <c r="H8" s="123"/>
      <c r="I8" s="123"/>
      <c r="J8" s="58"/>
      <c r="K8" s="58"/>
    </row>
    <row r="9" s="64" customFormat="true" ht="12.75" hidden="false" customHeight="false" outlineLevel="0" collapsed="false">
      <c r="A9" s="58"/>
      <c r="B9" s="66" t="n">
        <v>3</v>
      </c>
      <c r="C9" s="122" t="s">
        <v>178</v>
      </c>
      <c r="D9" s="122" t="s">
        <v>179</v>
      </c>
      <c r="E9" s="122" t="s">
        <v>107</v>
      </c>
      <c r="F9" s="123" t="s">
        <v>175</v>
      </c>
      <c r="G9" s="123"/>
      <c r="H9" s="123"/>
      <c r="I9" s="123"/>
      <c r="J9" s="58"/>
      <c r="K9" s="58"/>
    </row>
    <row r="10" s="64" customFormat="true" ht="12.75" hidden="false" customHeight="false" outlineLevel="0" collapsed="false">
      <c r="A10" s="58"/>
      <c r="B10" s="66" t="n">
        <v>4</v>
      </c>
      <c r="C10" s="122" t="s">
        <v>180</v>
      </c>
      <c r="D10" s="122" t="s">
        <v>181</v>
      </c>
      <c r="E10" s="122" t="s">
        <v>107</v>
      </c>
      <c r="F10" s="123" t="s">
        <v>175</v>
      </c>
      <c r="G10" s="123"/>
      <c r="H10" s="123"/>
      <c r="I10" s="123"/>
      <c r="J10" s="58"/>
      <c r="K10" s="58"/>
    </row>
    <row r="11" s="64" customFormat="true" ht="12.75" hidden="false" customHeight="false" outlineLevel="0" collapsed="false">
      <c r="A11" s="58"/>
      <c r="B11" s="66" t="n">
        <v>5</v>
      </c>
      <c r="C11" s="122" t="s">
        <v>182</v>
      </c>
      <c r="D11" s="122" t="s">
        <v>183</v>
      </c>
      <c r="E11" s="122" t="s">
        <v>107</v>
      </c>
      <c r="F11" s="123" t="s">
        <v>175</v>
      </c>
      <c r="G11" s="123"/>
      <c r="H11" s="123"/>
      <c r="I11" s="123"/>
      <c r="J11" s="58"/>
      <c r="K11" s="58"/>
    </row>
    <row r="12" s="64" customFormat="true" ht="12.75" hidden="false" customHeight="false" outlineLevel="0" collapsed="false">
      <c r="A12" s="58"/>
      <c r="B12" s="66" t="n">
        <v>6</v>
      </c>
      <c r="C12" s="122" t="s">
        <v>184</v>
      </c>
      <c r="D12" s="122" t="s">
        <v>185</v>
      </c>
      <c r="E12" s="122" t="s">
        <v>107</v>
      </c>
      <c r="F12" s="123" t="s">
        <v>175</v>
      </c>
      <c r="G12" s="123"/>
      <c r="H12" s="123"/>
      <c r="I12" s="123"/>
      <c r="J12" s="58"/>
      <c r="K12" s="58"/>
    </row>
    <row r="13" s="64" customFormat="true" ht="12.75" hidden="false" customHeight="false" outlineLevel="0" collapsed="false">
      <c r="A13" s="58"/>
      <c r="B13" s="66" t="n">
        <v>7</v>
      </c>
      <c r="C13" s="122" t="s">
        <v>186</v>
      </c>
      <c r="D13" s="122" t="s">
        <v>187</v>
      </c>
      <c r="E13" s="122" t="s">
        <v>107</v>
      </c>
      <c r="F13" s="123" t="s">
        <v>175</v>
      </c>
      <c r="G13" s="123"/>
      <c r="H13" s="123"/>
      <c r="I13" s="123"/>
      <c r="J13" s="58"/>
      <c r="K13" s="58"/>
    </row>
    <row r="14" s="64" customFormat="true" ht="12.75" hidden="false" customHeight="false" outlineLevel="0" collapsed="false">
      <c r="A14" s="58"/>
      <c r="B14" s="66" t="n">
        <v>8</v>
      </c>
      <c r="C14" s="122" t="s">
        <v>106</v>
      </c>
      <c r="D14" s="122" t="s">
        <v>188</v>
      </c>
      <c r="E14" s="122" t="s">
        <v>189</v>
      </c>
      <c r="F14" s="123" t="s">
        <v>175</v>
      </c>
      <c r="G14" s="123"/>
      <c r="H14" s="123"/>
      <c r="I14" s="123"/>
      <c r="J14" s="58"/>
      <c r="K14" s="58"/>
    </row>
    <row r="15" s="64" customFormat="true" ht="12.75" hidden="false" customHeight="false" outlineLevel="0" collapsed="false">
      <c r="A15" s="58"/>
      <c r="B15" s="66" t="n">
        <v>9</v>
      </c>
      <c r="C15" s="122"/>
      <c r="D15" s="122"/>
      <c r="E15" s="122"/>
      <c r="F15" s="124"/>
      <c r="G15" s="124"/>
      <c r="H15" s="124"/>
      <c r="I15" s="124"/>
      <c r="J15" s="58"/>
      <c r="K15" s="58"/>
    </row>
    <row r="16" s="64" customFormat="true" ht="12.75" hidden="false" customHeight="false" outlineLevel="0" collapsed="false">
      <c r="A16" s="58"/>
      <c r="B16" s="66" t="n">
        <v>10</v>
      </c>
      <c r="C16" s="122"/>
      <c r="D16" s="122"/>
      <c r="E16" s="122"/>
      <c r="F16" s="124"/>
      <c r="G16" s="124"/>
      <c r="H16" s="124"/>
      <c r="I16" s="124"/>
      <c r="J16" s="58"/>
      <c r="K16" s="58"/>
    </row>
    <row r="17" s="64" customFormat="true" ht="12.75" hidden="false" customHeight="false" outlineLevel="0" collapsed="false">
      <c r="A17" s="58"/>
      <c r="B17" s="66" t="n">
        <v>11</v>
      </c>
      <c r="C17" s="122"/>
      <c r="D17" s="122"/>
      <c r="E17" s="122"/>
      <c r="F17" s="124"/>
      <c r="G17" s="124"/>
      <c r="H17" s="124"/>
      <c r="I17" s="124"/>
      <c r="J17" s="58"/>
      <c r="K17" s="58"/>
    </row>
    <row r="18" s="64" customFormat="true" ht="12.75" hidden="false" customHeight="false" outlineLevel="0" collapsed="false">
      <c r="A18" s="58"/>
      <c r="J18" s="58"/>
      <c r="K18" s="58"/>
      <c r="L18" s="59"/>
    </row>
    <row r="19" s="64" customFormat="true" ht="12.75" hidden="false" customHeight="false" outlineLevel="0" collapsed="false">
      <c r="A19" s="58"/>
      <c r="B19" s="58" t="s">
        <v>190</v>
      </c>
      <c r="C19" s="58"/>
      <c r="D19" s="58"/>
      <c r="E19" s="58"/>
      <c r="F19" s="58"/>
      <c r="G19" s="58"/>
      <c r="L19" s="59"/>
    </row>
    <row r="20" s="64" customFormat="true" ht="12.75" hidden="false" customHeight="false" outlineLevel="0" collapsed="false">
      <c r="A20" s="58"/>
      <c r="B20" s="29"/>
      <c r="C20" s="29"/>
      <c r="D20" s="29"/>
      <c r="E20" s="125"/>
      <c r="F20" s="125"/>
      <c r="G20" s="125"/>
      <c r="H20" s="125" t="s">
        <v>25</v>
      </c>
      <c r="I20" s="125"/>
      <c r="J20" s="125"/>
      <c r="K20" s="125"/>
      <c r="L20" s="59"/>
    </row>
    <row r="21" s="128" customFormat="true" ht="20.85" hidden="false" customHeight="false" outlineLevel="0" collapsed="false">
      <c r="A21" s="126"/>
      <c r="B21" s="29" t="s">
        <v>54</v>
      </c>
      <c r="C21" s="29" t="s">
        <v>191</v>
      </c>
      <c r="D21" s="29" t="s">
        <v>105</v>
      </c>
      <c r="E21" s="125" t="s">
        <v>13</v>
      </c>
      <c r="F21" s="125" t="s">
        <v>176</v>
      </c>
      <c r="G21" s="125" t="s">
        <v>178</v>
      </c>
      <c r="H21" s="125" t="s">
        <v>180</v>
      </c>
      <c r="I21" s="125" t="s">
        <v>182</v>
      </c>
      <c r="J21" s="125" t="s">
        <v>184</v>
      </c>
      <c r="K21" s="125" t="s">
        <v>106</v>
      </c>
      <c r="L21" s="127"/>
    </row>
    <row r="22" s="64" customFormat="true" ht="12.75" hidden="false" customHeight="false" outlineLevel="0" collapsed="false">
      <c r="A22" s="58"/>
      <c r="B22" s="66" t="n">
        <v>1</v>
      </c>
      <c r="C22" s="96" t="s">
        <v>112</v>
      </c>
      <c r="D22" s="98" t="s">
        <v>112</v>
      </c>
      <c r="E22" s="105" t="s">
        <v>192</v>
      </c>
      <c r="F22" s="105" t="s">
        <v>193</v>
      </c>
      <c r="G22" s="105" t="s">
        <v>194</v>
      </c>
      <c r="H22" s="105" t="s">
        <v>195</v>
      </c>
      <c r="I22" s="105" t="s">
        <v>195</v>
      </c>
      <c r="J22" s="105" t="s">
        <v>195</v>
      </c>
      <c r="K22" s="105" t="s">
        <v>195</v>
      </c>
      <c r="L22" s="59"/>
    </row>
    <row r="23" s="64" customFormat="true" ht="12.75" hidden="false" customHeight="false" outlineLevel="0" collapsed="false">
      <c r="A23" s="58"/>
      <c r="B23" s="66" t="n">
        <v>2</v>
      </c>
      <c r="C23" s="96" t="s">
        <v>113</v>
      </c>
      <c r="D23" s="98" t="s">
        <v>113</v>
      </c>
      <c r="E23" s="105" t="s">
        <v>192</v>
      </c>
      <c r="F23" s="105" t="s">
        <v>194</v>
      </c>
      <c r="G23" s="105" t="s">
        <v>193</v>
      </c>
      <c r="H23" s="105" t="s">
        <v>195</v>
      </c>
      <c r="I23" s="105" t="s">
        <v>195</v>
      </c>
      <c r="J23" s="105" t="s">
        <v>195</v>
      </c>
      <c r="K23" s="105" t="s">
        <v>195</v>
      </c>
      <c r="L23" s="59"/>
    </row>
    <row r="24" s="64" customFormat="true" ht="12.75" hidden="false" customHeight="false" outlineLevel="0" collapsed="false">
      <c r="A24" s="58"/>
      <c r="B24" s="66" t="n">
        <v>3</v>
      </c>
      <c r="C24" s="96" t="s">
        <v>196</v>
      </c>
      <c r="D24" s="98" t="s">
        <v>115</v>
      </c>
      <c r="E24" s="105" t="s">
        <v>192</v>
      </c>
      <c r="F24" s="105" t="s">
        <v>195</v>
      </c>
      <c r="G24" s="105" t="s">
        <v>195</v>
      </c>
      <c r="H24" s="105" t="s">
        <v>195</v>
      </c>
      <c r="I24" s="105" t="s">
        <v>193</v>
      </c>
      <c r="J24" s="105" t="s">
        <v>195</v>
      </c>
      <c r="K24" s="105" t="s">
        <v>195</v>
      </c>
      <c r="L24" s="59"/>
    </row>
    <row r="25" s="64" customFormat="true" ht="12.75" hidden="false" customHeight="false" outlineLevel="0" collapsed="false">
      <c r="A25" s="58"/>
      <c r="B25" s="66" t="n">
        <v>4</v>
      </c>
      <c r="C25" s="96"/>
      <c r="D25" s="98"/>
      <c r="E25" s="105"/>
      <c r="F25" s="105"/>
      <c r="G25" s="105"/>
      <c r="H25" s="105"/>
      <c r="I25" s="105"/>
      <c r="J25" s="105"/>
      <c r="K25" s="105"/>
      <c r="L25" s="59"/>
    </row>
    <row r="26" s="64" customFormat="true" ht="12.75" hidden="false" customHeight="false" outlineLevel="0" collapsed="false">
      <c r="A26" s="58"/>
      <c r="B26" s="66" t="n">
        <v>5</v>
      </c>
      <c r="C26" s="96"/>
      <c r="D26" s="98"/>
      <c r="E26" s="105"/>
      <c r="F26" s="105"/>
      <c r="G26" s="105"/>
      <c r="H26" s="105"/>
      <c r="I26" s="105"/>
      <c r="J26" s="105"/>
      <c r="K26" s="105"/>
      <c r="L26" s="59"/>
    </row>
    <row r="27" s="64" customFormat="true" ht="12.75" hidden="false" customHeight="false" outlineLevel="0" collapsed="false">
      <c r="A27" s="58"/>
      <c r="B27" s="66" t="n">
        <v>6</v>
      </c>
      <c r="C27" s="96"/>
      <c r="D27" s="98"/>
      <c r="E27" s="105"/>
      <c r="F27" s="105"/>
      <c r="G27" s="105"/>
      <c r="H27" s="105"/>
      <c r="I27" s="105"/>
      <c r="J27" s="105"/>
      <c r="K27" s="105"/>
      <c r="L27" s="59"/>
    </row>
    <row r="28" s="64" customFormat="true" ht="12.75" hidden="false" customHeight="false" outlineLevel="0" collapsed="false">
      <c r="A28" s="58"/>
      <c r="B28" s="66" t="n">
        <v>7</v>
      </c>
      <c r="C28" s="96"/>
      <c r="D28" s="98"/>
      <c r="E28" s="105"/>
      <c r="F28" s="105"/>
      <c r="G28" s="105"/>
      <c r="H28" s="105"/>
      <c r="I28" s="105"/>
      <c r="J28" s="105"/>
      <c r="K28" s="105"/>
      <c r="L28" s="59"/>
    </row>
    <row r="29" s="64" customFormat="true" ht="12.75" hidden="false" customHeight="false" outlineLevel="0" collapsed="false">
      <c r="A29" s="58"/>
      <c r="B29" s="66" t="n">
        <v>8</v>
      </c>
      <c r="C29" s="96"/>
      <c r="D29" s="98"/>
      <c r="E29" s="105"/>
      <c r="F29" s="105"/>
      <c r="G29" s="105"/>
      <c r="H29" s="105"/>
      <c r="I29" s="105"/>
      <c r="J29" s="105"/>
      <c r="K29" s="105"/>
      <c r="L29" s="59"/>
    </row>
    <row r="30" s="64" customFormat="true" ht="12.75" hidden="false" customHeight="false" outlineLevel="0" collapsed="false">
      <c r="A30" s="58"/>
      <c r="B30" s="66" t="n">
        <v>9</v>
      </c>
      <c r="C30" s="96"/>
      <c r="D30" s="98"/>
      <c r="E30" s="105"/>
      <c r="F30" s="105"/>
      <c r="G30" s="105"/>
      <c r="H30" s="105"/>
      <c r="I30" s="105"/>
      <c r="J30" s="105"/>
      <c r="K30" s="105"/>
      <c r="L30" s="59"/>
    </row>
    <row r="31" s="64" customFormat="true" ht="12.75" hidden="false" customHeight="false" outlineLevel="0" collapsed="false">
      <c r="A31" s="58"/>
      <c r="B31" s="66" t="n">
        <v>10</v>
      </c>
      <c r="C31" s="96"/>
      <c r="D31" s="98"/>
      <c r="E31" s="105"/>
      <c r="F31" s="105"/>
      <c r="G31" s="105"/>
      <c r="H31" s="105"/>
      <c r="I31" s="105"/>
      <c r="J31" s="105"/>
      <c r="K31" s="105"/>
      <c r="L31" s="59"/>
    </row>
    <row r="32" s="64" customFormat="true" ht="12.75" hidden="false" customHeight="false" outlineLevel="0" collapsed="false">
      <c r="A32" s="58"/>
      <c r="L32" s="59"/>
    </row>
    <row r="33" customFormat="false" ht="12.75" hidden="false" customHeight="false" outlineLevel="0" collapsed="false">
      <c r="B33" s="58" t="s">
        <v>197</v>
      </c>
    </row>
    <row r="34" customFormat="false" ht="12.75" hidden="false" customHeight="false" outlineLevel="0" collapsed="false">
      <c r="B34" s="29" t="s">
        <v>54</v>
      </c>
      <c r="C34" s="29" t="s">
        <v>21</v>
      </c>
      <c r="D34" s="29" t="s">
        <v>25</v>
      </c>
      <c r="E34" s="29" t="s">
        <v>198</v>
      </c>
      <c r="F34" s="29" t="s">
        <v>199</v>
      </c>
      <c r="G34" s="29" t="s">
        <v>200</v>
      </c>
      <c r="H34" s="29" t="s">
        <v>201</v>
      </c>
      <c r="I34" s="29" t="s">
        <v>173</v>
      </c>
    </row>
    <row r="35" customFormat="false" ht="12.75" hidden="false" customHeight="false" outlineLevel="0" collapsed="false">
      <c r="B35" s="66" t="n">
        <v>1</v>
      </c>
      <c r="C35" s="122" t="s">
        <v>202</v>
      </c>
      <c r="D35" s="122" t="s">
        <v>13</v>
      </c>
      <c r="E35" s="122"/>
      <c r="F35" s="129" t="n">
        <v>45658</v>
      </c>
      <c r="G35" s="129" t="n">
        <v>46022</v>
      </c>
      <c r="H35" s="98"/>
      <c r="I35" s="122" t="s">
        <v>107</v>
      </c>
    </row>
    <row r="36" customFormat="false" ht="12.75" hidden="false" customHeight="false" outlineLevel="0" collapsed="false">
      <c r="B36" s="66" t="n">
        <v>2</v>
      </c>
      <c r="C36" s="122" t="s">
        <v>203</v>
      </c>
      <c r="D36" s="122" t="s">
        <v>176</v>
      </c>
      <c r="E36" s="122"/>
      <c r="F36" s="129" t="n">
        <v>45658</v>
      </c>
      <c r="G36" s="129" t="n">
        <v>46022</v>
      </c>
      <c r="H36" s="98"/>
      <c r="I36" s="122" t="s">
        <v>107</v>
      </c>
    </row>
    <row r="37" customFormat="false" ht="12.75" hidden="false" customHeight="false" outlineLevel="0" collapsed="false">
      <c r="B37" s="66" t="n">
        <v>3</v>
      </c>
      <c r="C37" s="122" t="s">
        <v>204</v>
      </c>
      <c r="D37" s="122" t="s">
        <v>178</v>
      </c>
      <c r="E37" s="122"/>
      <c r="F37" s="129" t="n">
        <v>45658</v>
      </c>
      <c r="G37" s="129" t="n">
        <v>46022</v>
      </c>
      <c r="H37" s="98"/>
      <c r="I37" s="122" t="s">
        <v>107</v>
      </c>
    </row>
    <row r="38" customFormat="false" ht="12.75" hidden="false" customHeight="false" outlineLevel="0" collapsed="false">
      <c r="B38" s="66" t="n">
        <v>4</v>
      </c>
      <c r="C38" s="122" t="s">
        <v>205</v>
      </c>
      <c r="D38" s="122" t="s">
        <v>180</v>
      </c>
      <c r="E38" s="122"/>
      <c r="F38" s="129" t="n">
        <v>45658</v>
      </c>
      <c r="G38" s="129" t="n">
        <v>46022</v>
      </c>
      <c r="H38" s="98"/>
      <c r="I38" s="122" t="s">
        <v>107</v>
      </c>
    </row>
    <row r="39" customFormat="false" ht="12.75" hidden="false" customHeight="false" outlineLevel="0" collapsed="false">
      <c r="B39" s="66" t="n">
        <v>5</v>
      </c>
      <c r="C39" s="122" t="s">
        <v>206</v>
      </c>
      <c r="D39" s="122" t="s">
        <v>180</v>
      </c>
      <c r="E39" s="122"/>
      <c r="F39" s="129" t="n">
        <v>45658</v>
      </c>
      <c r="G39" s="129" t="n">
        <v>46022</v>
      </c>
      <c r="H39" s="98"/>
      <c r="I39" s="122" t="s">
        <v>107</v>
      </c>
    </row>
    <row r="40" customFormat="false" ht="12.75" hidden="false" customHeight="false" outlineLevel="0" collapsed="false">
      <c r="B40" s="66" t="n">
        <v>6</v>
      </c>
      <c r="C40" s="122" t="s">
        <v>207</v>
      </c>
      <c r="D40" s="122" t="s">
        <v>182</v>
      </c>
      <c r="E40" s="122"/>
      <c r="F40" s="129" t="n">
        <v>45658</v>
      </c>
      <c r="G40" s="129" t="n">
        <v>46022</v>
      </c>
      <c r="H40" s="98"/>
      <c r="I40" s="122" t="s">
        <v>107</v>
      </c>
    </row>
    <row r="41" customFormat="false" ht="12.75" hidden="false" customHeight="false" outlineLevel="0" collapsed="false">
      <c r="B41" s="66" t="n">
        <v>7</v>
      </c>
      <c r="C41" s="122" t="s">
        <v>208</v>
      </c>
      <c r="D41" s="122" t="s">
        <v>182</v>
      </c>
      <c r="E41" s="122"/>
      <c r="F41" s="129" t="n">
        <v>45658</v>
      </c>
      <c r="G41" s="129" t="n">
        <v>46022</v>
      </c>
      <c r="H41" s="98"/>
      <c r="I41" s="122" t="s">
        <v>107</v>
      </c>
    </row>
    <row r="42" customFormat="false" ht="12.75" hidden="false" customHeight="false" outlineLevel="0" collapsed="false">
      <c r="B42" s="66" t="n">
        <v>8</v>
      </c>
      <c r="C42" s="122" t="s">
        <v>209</v>
      </c>
      <c r="D42" s="122" t="s">
        <v>184</v>
      </c>
      <c r="E42" s="122"/>
      <c r="F42" s="129" t="n">
        <v>45658</v>
      </c>
      <c r="G42" s="129" t="n">
        <v>46022</v>
      </c>
      <c r="H42" s="98"/>
      <c r="I42" s="122" t="s">
        <v>107</v>
      </c>
    </row>
    <row r="43" customFormat="false" ht="12.75" hidden="false" customHeight="false" outlineLevel="0" collapsed="false">
      <c r="B43" s="66" t="n">
        <v>9</v>
      </c>
      <c r="C43" s="122" t="s">
        <v>210</v>
      </c>
      <c r="D43" s="122" t="s">
        <v>186</v>
      </c>
      <c r="E43" s="122"/>
      <c r="F43" s="129" t="n">
        <v>45658</v>
      </c>
      <c r="G43" s="129" t="n">
        <v>46022</v>
      </c>
      <c r="H43" s="98"/>
      <c r="I43" s="122" t="s">
        <v>107</v>
      </c>
    </row>
    <row r="44" customFormat="false" ht="12.75" hidden="false" customHeight="false" outlineLevel="0" collapsed="false">
      <c r="B44" s="66" t="n">
        <v>10</v>
      </c>
      <c r="C44" s="122" t="s">
        <v>211</v>
      </c>
      <c r="D44" s="122" t="s">
        <v>106</v>
      </c>
      <c r="E44" s="122"/>
      <c r="F44" s="129" t="n">
        <v>45658</v>
      </c>
      <c r="G44" s="129" t="n">
        <v>46022</v>
      </c>
      <c r="H44" s="98"/>
      <c r="I44" s="122" t="s">
        <v>189</v>
      </c>
    </row>
  </sheetData>
  <mergeCells count="18">
    <mergeCell ref="B1:C3"/>
    <mergeCell ref="D1:I3"/>
    <mergeCell ref="J1:K1"/>
    <mergeCell ref="J2:K2"/>
    <mergeCell ref="J3:K3"/>
    <mergeCell ref="D4:K4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</mergeCells>
  <dataValidations count="4">
    <dataValidation allowBlank="true" errorStyle="stop" operator="between" showDropDown="false" showErrorMessage="true" showInputMessage="true" sqref="E21:K21 D35:D44" type="list">
      <formula1>$C$7:$C$17</formula1>
      <formula2>0</formula2>
    </dataValidation>
    <dataValidation allowBlank="true" errorStyle="stop" operator="between" showDropDown="false" showErrorMessage="true" showInputMessage="true" sqref="E7:E17 I35:I44" type="list">
      <formula1>"External,Internal"</formula1>
      <formula2>0</formula2>
    </dataValidation>
    <dataValidation allowBlank="true" errorStyle="stop" operator="between" showDropDown="false" showErrorMessage="true" showInputMessage="true" sqref="E22:K31" type="list">
      <formula1>Master!$B$4:$B$8</formula1>
      <formula2>0</formula2>
    </dataValidation>
    <dataValidation allowBlank="true" errorStyle="stop" operator="between" showDropDown="false" showErrorMessage="true" showInputMessage="true" sqref="D22:D31" type="list">
      <formula1>'1. Project Information'!$C$25:$C$33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4"/>
  <sheetViews>
    <sheetView showFormulas="false" showGridLines="true" showRowColHeaders="true" showZeros="true" rightToLeft="false" tabSelected="true" showOutlineSymbols="true" defaultGridColor="true" view="pageBreakPreview" topLeftCell="A1" colorId="64" zoomScale="120" zoomScaleNormal="100" zoomScalePageLayoutView="120" workbookViewId="0">
      <selection pane="topLeft" activeCell="H75" activeCellId="0" sqref="H75:H78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4.86"/>
    <col collapsed="false" customWidth="true" hidden="false" outlineLevel="0" max="3" min="3" style="58" width="34.57"/>
    <col collapsed="false" customWidth="true" hidden="false" outlineLevel="0" max="4" min="4" style="58" width="21.71"/>
    <col collapsed="false" customWidth="true" hidden="false" outlineLevel="0" max="5" min="5" style="58" width="38.29"/>
    <col collapsed="false" customWidth="true" hidden="false" outlineLevel="0" max="6" min="6" style="58" width="58.85"/>
    <col collapsed="false" customWidth="true" hidden="false" outlineLevel="0" max="7" min="7" style="58" width="41.42"/>
    <col collapsed="false" customWidth="true" hidden="false" outlineLevel="0" max="8" min="8" style="58" width="27.86"/>
    <col collapsed="false" customWidth="true" hidden="false" outlineLevel="0" max="9" min="9" style="58" width="20.42"/>
    <col collapsed="false" customWidth="true" hidden="false" outlineLevel="0" max="11" min="10" style="58" width="14.57"/>
    <col collapsed="false" customWidth="true" hidden="false" outlineLevel="0" max="12" min="12" style="58" width="8.57"/>
    <col collapsed="false" customWidth="false" hidden="false" outlineLevel="0" max="16384" min="13" style="58" width="9"/>
  </cols>
  <sheetData>
    <row r="1" customFormat="false" ht="17.25" hidden="false" customHeight="true" outlineLevel="0" collapsed="false">
      <c r="A1" s="60" t="s">
        <v>37</v>
      </c>
      <c r="B1" s="61"/>
      <c r="C1" s="61"/>
      <c r="D1" s="130" t="s">
        <v>212</v>
      </c>
      <c r="E1" s="130"/>
      <c r="F1" s="130"/>
      <c r="G1" s="131" t="str">
        <f aca="false">'0. Tasklist'!$G$1</f>
        <v>Mã số: BM03-QT-OP-01</v>
      </c>
      <c r="H1" s="132"/>
      <c r="I1" s="133"/>
    </row>
    <row r="2" customFormat="false" ht="17.25" hidden="false" customHeight="true" outlineLevel="0" collapsed="false">
      <c r="A2" s="60"/>
      <c r="B2" s="61"/>
      <c r="C2" s="61"/>
      <c r="D2" s="130"/>
      <c r="E2" s="130"/>
      <c r="F2" s="130"/>
      <c r="G2" s="131" t="str">
        <f aca="false">'0. Tasklist'!$G$2</f>
        <v>Ngày hiệu lực: 10/09/2025</v>
      </c>
      <c r="H2" s="132"/>
      <c r="I2" s="133"/>
    </row>
    <row r="3" customFormat="false" ht="17.25" hidden="false" customHeight="true" outlineLevel="0" collapsed="false">
      <c r="A3" s="60"/>
      <c r="B3" s="61"/>
      <c r="C3" s="61"/>
      <c r="D3" s="130"/>
      <c r="E3" s="130"/>
      <c r="F3" s="130"/>
      <c r="G3" s="131" t="str">
        <f aca="false">'0. Tasklist'!$G$3</f>
        <v>Lần ban hành: 02</v>
      </c>
      <c r="H3" s="132"/>
      <c r="I3" s="133"/>
    </row>
    <row r="5" s="87" customFormat="true" ht="15" hidden="false" customHeight="true" outlineLevel="0" collapsed="false">
      <c r="B5" s="134" t="s">
        <v>213</v>
      </c>
      <c r="C5" s="134"/>
      <c r="D5" s="134"/>
      <c r="E5" s="134"/>
      <c r="F5" s="134"/>
      <c r="G5" s="134"/>
      <c r="H5" s="134"/>
      <c r="I5" s="134"/>
      <c r="J5" s="135"/>
      <c r="K5" s="136"/>
    </row>
    <row r="6" s="64" customFormat="true" ht="25.35" hidden="false" customHeight="true" outlineLevel="0" collapsed="false">
      <c r="A6" s="58"/>
      <c r="B6" s="137" t="s">
        <v>54</v>
      </c>
      <c r="C6" s="137" t="s">
        <v>214</v>
      </c>
      <c r="D6" s="138" t="s">
        <v>101</v>
      </c>
      <c r="E6" s="138"/>
      <c r="F6" s="137" t="s">
        <v>215</v>
      </c>
      <c r="G6" s="137" t="s">
        <v>216</v>
      </c>
      <c r="H6" s="139" t="s">
        <v>217</v>
      </c>
      <c r="I6" s="140" t="s">
        <v>218</v>
      </c>
      <c r="J6" s="135"/>
      <c r="K6" s="136"/>
      <c r="L6" s="59"/>
    </row>
    <row r="7" s="141" customFormat="true" ht="29.25" hidden="false" customHeight="true" outlineLevel="0" collapsed="false">
      <c r="B7" s="142" t="n">
        <f aca="false">ROW()-6</f>
        <v>1</v>
      </c>
      <c r="C7" s="143" t="s">
        <v>219</v>
      </c>
      <c r="D7" s="144" t="s">
        <v>220</v>
      </c>
      <c r="E7" s="144"/>
      <c r="F7" s="143" t="s">
        <v>221</v>
      </c>
      <c r="G7" s="143"/>
      <c r="H7" s="145" t="s">
        <v>222</v>
      </c>
      <c r="I7" s="143"/>
      <c r="J7" s="146"/>
      <c r="K7" s="147"/>
    </row>
    <row r="8" s="141" customFormat="true" ht="42" hidden="false" customHeight="true" outlineLevel="0" collapsed="false">
      <c r="B8" s="148" t="n">
        <f aca="false">ROW()-6</f>
        <v>2</v>
      </c>
      <c r="C8" s="149" t="s">
        <v>223</v>
      </c>
      <c r="D8" s="150" t="s">
        <v>224</v>
      </c>
      <c r="E8" s="150"/>
      <c r="F8" s="150" t="s">
        <v>221</v>
      </c>
      <c r="G8" s="150" t="s">
        <v>225</v>
      </c>
      <c r="H8" s="151" t="s">
        <v>222</v>
      </c>
      <c r="I8" s="150"/>
      <c r="J8" s="146"/>
      <c r="K8" s="147"/>
    </row>
    <row r="9" s="141" customFormat="true" ht="27.75" hidden="false" customHeight="true" outlineLevel="0" collapsed="false">
      <c r="B9" s="152" t="n">
        <f aca="false">ROW()-6</f>
        <v>3</v>
      </c>
      <c r="C9" s="153" t="s">
        <v>219</v>
      </c>
      <c r="D9" s="153" t="s">
        <v>226</v>
      </c>
      <c r="E9" s="153"/>
      <c r="F9" s="154" t="s">
        <v>221</v>
      </c>
      <c r="G9" s="154"/>
      <c r="H9" s="155" t="s">
        <v>222</v>
      </c>
      <c r="I9" s="143"/>
      <c r="J9" s="146"/>
      <c r="K9" s="147"/>
    </row>
    <row r="10" s="141" customFormat="true" ht="37.3" hidden="false" customHeight="true" outlineLevel="0" collapsed="false">
      <c r="B10" s="52" t="n">
        <f aca="false">ROW()-6</f>
        <v>4</v>
      </c>
      <c r="C10" s="156" t="s">
        <v>223</v>
      </c>
      <c r="D10" s="157" t="s">
        <v>227</v>
      </c>
      <c r="E10" s="157"/>
      <c r="F10" s="156" t="s">
        <v>228</v>
      </c>
      <c r="G10" s="156" t="s">
        <v>229</v>
      </c>
      <c r="H10" s="158" t="s">
        <v>222</v>
      </c>
      <c r="I10" s="159"/>
      <c r="J10" s="146"/>
      <c r="K10" s="147"/>
    </row>
    <row r="11" s="141" customFormat="true" ht="42" hidden="false" customHeight="true" outlineLevel="0" collapsed="false">
      <c r="B11" s="52" t="n">
        <f aca="false">ROW()-6</f>
        <v>5</v>
      </c>
      <c r="C11" s="156" t="s">
        <v>230</v>
      </c>
      <c r="D11" s="160" t="s">
        <v>231</v>
      </c>
      <c r="E11" s="160"/>
      <c r="F11" s="156" t="s">
        <v>232</v>
      </c>
      <c r="G11" s="156" t="s">
        <v>229</v>
      </c>
      <c r="H11" s="158" t="s">
        <v>222</v>
      </c>
      <c r="I11" s="156"/>
      <c r="J11" s="146"/>
      <c r="K11" s="147"/>
    </row>
    <row r="12" s="141" customFormat="true" ht="51.75" hidden="false" customHeight="true" outlineLevel="0" collapsed="false">
      <c r="B12" s="52" t="n">
        <f aca="false">ROW()-6</f>
        <v>6</v>
      </c>
      <c r="C12" s="156" t="s">
        <v>233</v>
      </c>
      <c r="D12" s="156" t="s">
        <v>234</v>
      </c>
      <c r="E12" s="156"/>
      <c r="F12" s="156" t="s">
        <v>235</v>
      </c>
      <c r="G12" s="156" t="s">
        <v>236</v>
      </c>
      <c r="H12" s="158" t="s">
        <v>222</v>
      </c>
      <c r="I12" s="156"/>
      <c r="J12" s="146"/>
      <c r="K12" s="147"/>
    </row>
    <row r="13" s="141" customFormat="true" ht="42" hidden="false" customHeight="true" outlineLevel="0" collapsed="false">
      <c r="B13" s="52" t="n">
        <f aca="false">ROW()-6</f>
        <v>7</v>
      </c>
      <c r="C13" s="156" t="s">
        <v>237</v>
      </c>
      <c r="D13" s="156" t="s">
        <v>238</v>
      </c>
      <c r="E13" s="156"/>
      <c r="F13" s="156" t="s">
        <v>239</v>
      </c>
      <c r="G13" s="156" t="s">
        <v>240</v>
      </c>
      <c r="H13" s="158" t="s">
        <v>222</v>
      </c>
      <c r="I13" s="156"/>
      <c r="J13" s="146"/>
      <c r="K13" s="147"/>
    </row>
    <row r="14" s="141" customFormat="true" ht="42" hidden="false" customHeight="true" outlineLevel="0" collapsed="false">
      <c r="B14" s="52" t="n">
        <f aca="false">ROW()-6</f>
        <v>8</v>
      </c>
      <c r="C14" s="156" t="s">
        <v>241</v>
      </c>
      <c r="D14" s="156" t="s">
        <v>242</v>
      </c>
      <c r="E14" s="156"/>
      <c r="F14" s="156" t="s">
        <v>243</v>
      </c>
      <c r="G14" s="156" t="s">
        <v>244</v>
      </c>
      <c r="H14" s="158" t="s">
        <v>222</v>
      </c>
      <c r="I14" s="156"/>
      <c r="J14" s="146"/>
      <c r="K14" s="147"/>
    </row>
    <row r="15" s="141" customFormat="true" ht="42" hidden="false" customHeight="true" outlineLevel="0" collapsed="false">
      <c r="B15" s="52" t="n">
        <f aca="false">ROW()-6</f>
        <v>9</v>
      </c>
      <c r="C15" s="156" t="s">
        <v>245</v>
      </c>
      <c r="D15" s="156" t="s">
        <v>246</v>
      </c>
      <c r="E15" s="156"/>
      <c r="F15" s="156" t="s">
        <v>247</v>
      </c>
      <c r="G15" s="156" t="s">
        <v>244</v>
      </c>
      <c r="H15" s="158" t="s">
        <v>222</v>
      </c>
      <c r="I15" s="156"/>
      <c r="J15" s="146"/>
      <c r="K15" s="147"/>
    </row>
    <row r="16" s="141" customFormat="true" ht="42" hidden="false" customHeight="true" outlineLevel="0" collapsed="false">
      <c r="B16" s="52" t="n">
        <f aca="false">ROW()-6</f>
        <v>10</v>
      </c>
      <c r="C16" s="156" t="s">
        <v>248</v>
      </c>
      <c r="D16" s="156" t="s">
        <v>249</v>
      </c>
      <c r="E16" s="156"/>
      <c r="F16" s="156" t="s">
        <v>250</v>
      </c>
      <c r="G16" s="156" t="s">
        <v>251</v>
      </c>
      <c r="H16" s="158" t="s">
        <v>222</v>
      </c>
      <c r="I16" s="156"/>
      <c r="J16" s="146"/>
      <c r="K16" s="147"/>
    </row>
    <row r="17" s="141" customFormat="true" ht="42" hidden="false" customHeight="true" outlineLevel="0" collapsed="false">
      <c r="B17" s="52" t="n">
        <f aca="false">ROW()-6</f>
        <v>11</v>
      </c>
      <c r="C17" s="156" t="s">
        <v>252</v>
      </c>
      <c r="D17" s="156" t="s">
        <v>253</v>
      </c>
      <c r="E17" s="156"/>
      <c r="F17" s="156" t="s">
        <v>254</v>
      </c>
      <c r="G17" s="156" t="s">
        <v>229</v>
      </c>
      <c r="H17" s="158" t="s">
        <v>222</v>
      </c>
      <c r="I17" s="156"/>
      <c r="J17" s="146"/>
      <c r="K17" s="147"/>
    </row>
    <row r="18" s="141" customFormat="true" ht="42" hidden="false" customHeight="true" outlineLevel="0" collapsed="false">
      <c r="B18" s="52" t="n">
        <f aca="false">ROW()-6</f>
        <v>12</v>
      </c>
      <c r="C18" s="156" t="s">
        <v>255</v>
      </c>
      <c r="D18" s="156" t="s">
        <v>256</v>
      </c>
      <c r="E18" s="156"/>
      <c r="F18" s="156" t="s">
        <v>257</v>
      </c>
      <c r="G18" s="156" t="s">
        <v>229</v>
      </c>
      <c r="H18" s="158" t="s">
        <v>222</v>
      </c>
      <c r="I18" s="156"/>
      <c r="J18" s="146"/>
      <c r="K18" s="147"/>
    </row>
    <row r="19" s="141" customFormat="true" ht="42" hidden="false" customHeight="true" outlineLevel="0" collapsed="false">
      <c r="B19" s="52" t="n">
        <f aca="false">ROW()-6</f>
        <v>13</v>
      </c>
      <c r="C19" s="156" t="s">
        <v>258</v>
      </c>
      <c r="D19" s="156" t="s">
        <v>259</v>
      </c>
      <c r="E19" s="156"/>
      <c r="F19" s="156" t="s">
        <v>260</v>
      </c>
      <c r="G19" s="156" t="s">
        <v>261</v>
      </c>
      <c r="H19" s="158" t="s">
        <v>222</v>
      </c>
      <c r="I19" s="156"/>
      <c r="J19" s="146"/>
      <c r="K19" s="147"/>
    </row>
    <row r="20" s="161" customFormat="true" ht="42" hidden="false" customHeight="true" outlineLevel="0" collapsed="false">
      <c r="B20" s="162" t="n">
        <f aca="false">ROW()-6</f>
        <v>14</v>
      </c>
      <c r="C20" s="159" t="s">
        <v>262</v>
      </c>
      <c r="D20" s="159" t="s">
        <v>37</v>
      </c>
      <c r="E20" s="159"/>
      <c r="F20" s="159" t="s">
        <v>263</v>
      </c>
      <c r="G20" s="159" t="s">
        <v>264</v>
      </c>
      <c r="H20" s="163" t="s">
        <v>222</v>
      </c>
      <c r="I20" s="159"/>
      <c r="J20" s="164"/>
      <c r="K20" s="165"/>
    </row>
    <row r="21" customFormat="false" ht="15" hidden="false" customHeight="false" outlineLevel="0" collapsed="false">
      <c r="B21" s="166"/>
      <c r="C21" s="167"/>
      <c r="D21" s="167"/>
      <c r="E21" s="168"/>
      <c r="F21" s="168"/>
      <c r="G21" s="167"/>
      <c r="H21" s="167"/>
      <c r="I21" s="167"/>
      <c r="J21" s="169"/>
      <c r="K21" s="170"/>
    </row>
    <row r="22" customFormat="false" ht="15" hidden="false" customHeight="false" outlineLevel="0" collapsed="false">
      <c r="B22" s="134" t="s">
        <v>265</v>
      </c>
      <c r="C22" s="167"/>
      <c r="D22" s="167"/>
      <c r="E22" s="168"/>
      <c r="F22" s="168"/>
      <c r="G22" s="167"/>
      <c r="H22" s="167"/>
      <c r="I22" s="167"/>
      <c r="J22" s="169"/>
      <c r="K22" s="170"/>
    </row>
    <row r="23" customFormat="false" ht="15" hidden="false" customHeight="true" outlineLevel="0" collapsed="false">
      <c r="B23" s="137" t="s">
        <v>54</v>
      </c>
      <c r="C23" s="137" t="s">
        <v>266</v>
      </c>
      <c r="D23" s="137" t="s">
        <v>267</v>
      </c>
      <c r="E23" s="137"/>
      <c r="F23" s="137" t="s">
        <v>268</v>
      </c>
      <c r="G23" s="137" t="s">
        <v>269</v>
      </c>
      <c r="H23" s="137" t="s">
        <v>58</v>
      </c>
      <c r="I23" s="167"/>
      <c r="J23" s="169"/>
      <c r="K23" s="170"/>
    </row>
    <row r="24" s="141" customFormat="true" ht="13.5" hidden="false" customHeight="true" outlineLevel="0" collapsed="false">
      <c r="B24" s="171" t="n">
        <v>1</v>
      </c>
      <c r="C24" s="172" t="s">
        <v>112</v>
      </c>
      <c r="D24" s="160" t="s">
        <v>270</v>
      </c>
      <c r="E24" s="160"/>
      <c r="F24" s="173" t="s">
        <v>271</v>
      </c>
      <c r="G24" s="174" t="s">
        <v>272</v>
      </c>
      <c r="H24" s="173" t="s">
        <v>273</v>
      </c>
      <c r="I24" s="167"/>
      <c r="J24" s="146"/>
      <c r="K24" s="147"/>
    </row>
    <row r="25" s="141" customFormat="true" ht="13.5" hidden="false" customHeight="true" outlineLevel="0" collapsed="false">
      <c r="B25" s="171" t="n">
        <v>2</v>
      </c>
      <c r="C25" s="172" t="s">
        <v>113</v>
      </c>
      <c r="D25" s="160" t="s">
        <v>274</v>
      </c>
      <c r="E25" s="160"/>
      <c r="F25" s="173" t="s">
        <v>275</v>
      </c>
      <c r="G25" s="174" t="s">
        <v>276</v>
      </c>
      <c r="H25" s="173" t="s">
        <v>273</v>
      </c>
      <c r="I25" s="167"/>
      <c r="J25" s="146"/>
      <c r="K25" s="147"/>
    </row>
    <row r="26" s="141" customFormat="true" ht="13.5" hidden="false" customHeight="true" outlineLevel="0" collapsed="false">
      <c r="B26" s="171" t="n">
        <v>3</v>
      </c>
      <c r="C26" s="173" t="s">
        <v>196</v>
      </c>
      <c r="D26" s="160" t="s">
        <v>277</v>
      </c>
      <c r="E26" s="160"/>
      <c r="F26" s="173" t="s">
        <v>278</v>
      </c>
      <c r="G26" s="174" t="s">
        <v>279</v>
      </c>
      <c r="H26" s="173" t="s">
        <v>273</v>
      </c>
      <c r="I26" s="175"/>
      <c r="J26" s="146"/>
      <c r="K26" s="147"/>
    </row>
    <row r="27" s="141" customFormat="true" ht="13.5" hidden="false" customHeight="true" outlineLevel="0" collapsed="false">
      <c r="B27" s="171" t="n">
        <v>4</v>
      </c>
      <c r="C27" s="173" t="s">
        <v>280</v>
      </c>
      <c r="D27" s="160" t="s">
        <v>277</v>
      </c>
      <c r="E27" s="160"/>
      <c r="F27" s="173" t="s">
        <v>281</v>
      </c>
      <c r="G27" s="174" t="s">
        <v>282</v>
      </c>
      <c r="H27" s="173" t="s">
        <v>273</v>
      </c>
      <c r="I27" s="175"/>
      <c r="J27" s="146"/>
      <c r="K27" s="147"/>
    </row>
    <row r="28" s="141" customFormat="true" ht="13.5" hidden="false" customHeight="true" outlineLevel="0" collapsed="false">
      <c r="B28" s="171" t="n">
        <v>5</v>
      </c>
      <c r="C28" s="173" t="s">
        <v>283</v>
      </c>
      <c r="D28" s="160" t="s">
        <v>284</v>
      </c>
      <c r="E28" s="160"/>
      <c r="F28" s="173" t="s">
        <v>285</v>
      </c>
      <c r="G28" s="174" t="s">
        <v>286</v>
      </c>
      <c r="H28" s="173" t="s">
        <v>287</v>
      </c>
      <c r="I28" s="175"/>
      <c r="J28" s="146"/>
      <c r="K28" s="147"/>
    </row>
    <row r="29" s="141" customFormat="true" ht="13.5" hidden="false" customHeight="true" outlineLevel="0" collapsed="false">
      <c r="B29" s="171" t="n">
        <v>6</v>
      </c>
      <c r="C29" s="173" t="s">
        <v>288</v>
      </c>
      <c r="D29" s="160"/>
      <c r="E29" s="160"/>
      <c r="F29" s="173"/>
      <c r="G29" s="174"/>
      <c r="H29" s="173"/>
      <c r="I29" s="175"/>
      <c r="J29" s="146"/>
      <c r="K29" s="147"/>
    </row>
    <row r="30" s="141" customFormat="true" ht="13.5" hidden="false" customHeight="true" outlineLevel="0" collapsed="false">
      <c r="B30" s="171" t="n">
        <v>7</v>
      </c>
      <c r="C30" s="173"/>
      <c r="D30" s="160"/>
      <c r="E30" s="160"/>
      <c r="F30" s="173"/>
      <c r="G30" s="174"/>
      <c r="H30" s="173"/>
      <c r="I30" s="175"/>
      <c r="J30" s="146"/>
      <c r="K30" s="147"/>
    </row>
    <row r="31" customFormat="false" ht="15" hidden="false" customHeight="false" outlineLevel="0" collapsed="false">
      <c r="B31" s="166"/>
      <c r="C31" s="167"/>
      <c r="D31" s="167"/>
      <c r="E31" s="168"/>
      <c r="F31" s="168"/>
      <c r="G31" s="167"/>
      <c r="H31" s="167"/>
      <c r="I31" s="167"/>
      <c r="J31" s="169"/>
      <c r="K31" s="170"/>
    </row>
    <row r="32" customFormat="false" ht="15" hidden="false" customHeight="false" outlineLevel="0" collapsed="false">
      <c r="B32" s="134" t="s">
        <v>289</v>
      </c>
      <c r="C32" s="168"/>
      <c r="D32" s="168"/>
      <c r="E32" s="168"/>
      <c r="F32" s="168"/>
      <c r="G32" s="168"/>
      <c r="H32" s="168"/>
      <c r="I32" s="168"/>
      <c r="J32" s="168"/>
    </row>
    <row r="33" customFormat="false" ht="15" hidden="false" customHeight="false" outlineLevel="0" collapsed="false">
      <c r="B33" s="134" t="s">
        <v>290</v>
      </c>
      <c r="C33" s="168"/>
      <c r="D33" s="168"/>
      <c r="E33" s="168"/>
      <c r="F33" s="168"/>
      <c r="G33" s="168"/>
      <c r="H33" s="168"/>
      <c r="I33" s="168"/>
      <c r="J33" s="168"/>
    </row>
    <row r="34" customFormat="false" ht="12.75" hidden="false" customHeight="true" outlineLevel="0" collapsed="false">
      <c r="B34" s="137" t="s">
        <v>54</v>
      </c>
      <c r="C34" s="137" t="s">
        <v>291</v>
      </c>
      <c r="D34" s="137" t="s">
        <v>101</v>
      </c>
      <c r="E34" s="137"/>
      <c r="F34" s="137" t="s">
        <v>292</v>
      </c>
      <c r="G34" s="137" t="s">
        <v>58</v>
      </c>
      <c r="H34" s="168"/>
      <c r="I34" s="168"/>
      <c r="J34" s="168"/>
    </row>
    <row r="35" customFormat="false" ht="15" hidden="false" customHeight="true" outlineLevel="0" collapsed="false">
      <c r="B35" s="52" t="n">
        <v>1</v>
      </c>
      <c r="C35" s="176" t="s">
        <v>293</v>
      </c>
      <c r="D35" s="160" t="s">
        <v>294</v>
      </c>
      <c r="E35" s="160"/>
      <c r="F35" s="176"/>
      <c r="G35" s="176"/>
      <c r="H35" s="168"/>
      <c r="I35" s="168"/>
      <c r="J35" s="168"/>
    </row>
    <row r="36" customFormat="false" ht="15" hidden="false" customHeight="true" outlineLevel="0" collapsed="false">
      <c r="B36" s="52" t="n">
        <v>2</v>
      </c>
      <c r="C36" s="176" t="s">
        <v>295</v>
      </c>
      <c r="D36" s="160" t="s">
        <v>296</v>
      </c>
      <c r="E36" s="160"/>
      <c r="F36" s="176" t="s">
        <v>297</v>
      </c>
      <c r="G36" s="176"/>
      <c r="H36" s="168"/>
      <c r="I36" s="168"/>
      <c r="J36" s="168"/>
    </row>
    <row r="37" customFormat="false" ht="15" hidden="false" customHeight="true" outlineLevel="0" collapsed="false">
      <c r="B37" s="52" t="n">
        <v>3</v>
      </c>
      <c r="C37" s="176" t="s">
        <v>298</v>
      </c>
      <c r="D37" s="160" t="s">
        <v>299</v>
      </c>
      <c r="E37" s="160"/>
      <c r="F37" s="176"/>
      <c r="G37" s="176"/>
      <c r="H37" s="168"/>
      <c r="I37" s="168"/>
      <c r="J37" s="168"/>
    </row>
    <row r="38" customFormat="false" ht="15" hidden="false" customHeight="true" outlineLevel="0" collapsed="false">
      <c r="B38" s="52" t="n">
        <v>4</v>
      </c>
      <c r="C38" s="176" t="s">
        <v>300</v>
      </c>
      <c r="D38" s="160" t="s">
        <v>301</v>
      </c>
      <c r="E38" s="160"/>
      <c r="F38" s="176"/>
      <c r="G38" s="176"/>
      <c r="H38" s="168"/>
      <c r="I38" s="168"/>
      <c r="J38" s="168"/>
    </row>
    <row r="39" customFormat="false" ht="15" hidden="false" customHeight="false" outlineLevel="0" collapsed="false">
      <c r="B39" s="52" t="n">
        <v>5</v>
      </c>
      <c r="C39" s="176"/>
      <c r="D39" s="160"/>
      <c r="E39" s="160"/>
      <c r="F39" s="176"/>
      <c r="G39" s="176"/>
      <c r="H39" s="168"/>
      <c r="I39" s="168"/>
      <c r="J39" s="168"/>
    </row>
    <row r="40" customFormat="false" ht="12.75" hidden="false" customHeight="true" outlineLevel="0" collapsed="false">
      <c r="B40" s="168"/>
      <c r="C40" s="168"/>
      <c r="D40" s="168"/>
      <c r="E40" s="168"/>
      <c r="F40" s="168"/>
      <c r="G40" s="168"/>
      <c r="H40" s="168"/>
      <c r="I40" s="168"/>
      <c r="J40" s="168"/>
    </row>
    <row r="41" customFormat="false" ht="15" hidden="false" customHeight="false" outlineLevel="0" collapsed="false">
      <c r="B41" s="134" t="s">
        <v>302</v>
      </c>
      <c r="C41" s="168"/>
      <c r="D41" s="168"/>
      <c r="E41" s="168"/>
      <c r="F41" s="168"/>
      <c r="G41" s="168"/>
      <c r="H41" s="168"/>
      <c r="I41" s="168"/>
      <c r="J41" s="168"/>
    </row>
    <row r="42" customFormat="false" ht="15" hidden="false" customHeight="true" outlineLevel="0" collapsed="false">
      <c r="B42" s="137" t="s">
        <v>54</v>
      </c>
      <c r="C42" s="137" t="s">
        <v>303</v>
      </c>
      <c r="D42" s="137" t="s">
        <v>101</v>
      </c>
      <c r="E42" s="137"/>
      <c r="F42" s="137" t="s">
        <v>292</v>
      </c>
      <c r="G42" s="137" t="s">
        <v>58</v>
      </c>
      <c r="H42" s="168"/>
      <c r="I42" s="168"/>
      <c r="J42" s="168"/>
    </row>
    <row r="43" customFormat="false" ht="18" hidden="false" customHeight="true" outlineLevel="0" collapsed="false">
      <c r="B43" s="52" t="n">
        <v>1</v>
      </c>
      <c r="C43" s="176" t="s">
        <v>304</v>
      </c>
      <c r="D43" s="156" t="s">
        <v>305</v>
      </c>
      <c r="E43" s="156"/>
      <c r="F43" s="176"/>
      <c r="G43" s="177"/>
      <c r="H43" s="168"/>
      <c r="I43" s="168"/>
      <c r="J43" s="168"/>
    </row>
    <row r="44" customFormat="false" ht="18" hidden="false" customHeight="true" outlineLevel="0" collapsed="false">
      <c r="B44" s="52" t="n">
        <v>2</v>
      </c>
      <c r="C44" s="176" t="s">
        <v>306</v>
      </c>
      <c r="D44" s="156" t="s">
        <v>307</v>
      </c>
      <c r="E44" s="156"/>
      <c r="F44" s="176"/>
      <c r="G44" s="177"/>
      <c r="H44" s="168"/>
      <c r="I44" s="168"/>
      <c r="J44" s="168"/>
    </row>
    <row r="45" customFormat="false" ht="18" hidden="false" customHeight="true" outlineLevel="0" collapsed="false">
      <c r="B45" s="52" t="n">
        <v>3</v>
      </c>
      <c r="C45" s="176" t="s">
        <v>308</v>
      </c>
      <c r="D45" s="156" t="s">
        <v>309</v>
      </c>
      <c r="E45" s="156"/>
      <c r="F45" s="176"/>
      <c r="G45" s="177"/>
      <c r="H45" s="168"/>
      <c r="I45" s="168"/>
      <c r="J45" s="168"/>
    </row>
    <row r="46" customFormat="false" ht="27.75" hidden="false" customHeight="true" outlineLevel="0" collapsed="false">
      <c r="B46" s="52" t="n">
        <v>4</v>
      </c>
      <c r="C46" s="176" t="s">
        <v>310</v>
      </c>
      <c r="D46" s="156" t="s">
        <v>311</v>
      </c>
      <c r="E46" s="156"/>
      <c r="F46" s="176"/>
      <c r="G46" s="177"/>
      <c r="H46" s="168"/>
      <c r="I46" s="168"/>
      <c r="J46" s="168"/>
    </row>
    <row r="47" customFormat="false" ht="27.75" hidden="false" customHeight="true" outlineLevel="0" collapsed="false">
      <c r="B47" s="52" t="n">
        <v>5</v>
      </c>
      <c r="C47" s="176" t="s">
        <v>312</v>
      </c>
      <c r="D47" s="156" t="s">
        <v>313</v>
      </c>
      <c r="E47" s="156"/>
      <c r="F47" s="176"/>
      <c r="G47" s="177"/>
      <c r="H47" s="168"/>
      <c r="I47" s="168"/>
      <c r="J47" s="168"/>
    </row>
    <row r="48" customFormat="false" ht="27.75" hidden="false" customHeight="true" outlineLevel="0" collapsed="false">
      <c r="B48" s="52" t="n">
        <v>6</v>
      </c>
      <c r="C48" s="176" t="s">
        <v>314</v>
      </c>
      <c r="D48" s="156" t="s">
        <v>315</v>
      </c>
      <c r="E48" s="156"/>
      <c r="F48" s="176"/>
      <c r="G48" s="177"/>
      <c r="H48" s="168"/>
      <c r="I48" s="168"/>
      <c r="J48" s="168"/>
    </row>
    <row r="49" customFormat="false" ht="15" hidden="false" customHeight="false" outlineLevel="0" collapsed="false">
      <c r="B49" s="52" t="n">
        <v>7</v>
      </c>
      <c r="C49" s="176"/>
      <c r="D49" s="178"/>
      <c r="E49" s="178"/>
      <c r="F49" s="176"/>
      <c r="G49" s="177"/>
      <c r="H49" s="168"/>
      <c r="I49" s="168"/>
      <c r="J49" s="168"/>
    </row>
    <row r="50" customFormat="false" ht="15" hidden="false" customHeight="false" outlineLevel="0" collapsed="false">
      <c r="B50" s="52" t="n">
        <v>8</v>
      </c>
      <c r="C50" s="176"/>
      <c r="D50" s="178"/>
      <c r="E50" s="178"/>
      <c r="F50" s="176"/>
      <c r="G50" s="177"/>
      <c r="H50" s="168"/>
      <c r="I50" s="168"/>
      <c r="J50" s="168"/>
    </row>
    <row r="51" customFormat="false" ht="15" hidden="false" customHeight="false" outlineLevel="0" collapsed="false">
      <c r="B51" s="52" t="n">
        <v>9</v>
      </c>
      <c r="C51" s="176"/>
      <c r="D51" s="178"/>
      <c r="E51" s="178"/>
      <c r="F51" s="176"/>
      <c r="G51" s="177"/>
      <c r="H51" s="168"/>
      <c r="I51" s="168"/>
      <c r="J51" s="168"/>
    </row>
    <row r="52" customFormat="false" ht="15" hidden="false" customHeight="false" outlineLevel="0" collapsed="false">
      <c r="B52" s="52" t="n">
        <v>10</v>
      </c>
      <c r="C52" s="176"/>
      <c r="D52" s="178"/>
      <c r="E52" s="178"/>
      <c r="F52" s="176"/>
      <c r="G52" s="177"/>
      <c r="H52" s="168"/>
      <c r="I52" s="168"/>
      <c r="J52" s="168"/>
    </row>
    <row r="53" customFormat="false" ht="12.75" hidden="false" customHeight="true" outlineLevel="0" collapsed="false">
      <c r="B53" s="168"/>
      <c r="C53" s="168"/>
      <c r="D53" s="168"/>
      <c r="E53" s="168"/>
      <c r="F53" s="168"/>
      <c r="G53" s="168"/>
      <c r="H53" s="168"/>
      <c r="I53" s="168"/>
      <c r="J53" s="168"/>
    </row>
    <row r="54" customFormat="false" ht="15" hidden="false" customHeight="false" outlineLevel="0" collapsed="false">
      <c r="B54" s="134" t="s">
        <v>316</v>
      </c>
      <c r="C54" s="168"/>
      <c r="D54" s="168"/>
      <c r="E54" s="168"/>
      <c r="F54" s="168"/>
      <c r="G54" s="168"/>
      <c r="H54" s="168"/>
      <c r="I54" s="168"/>
      <c r="J54" s="168"/>
    </row>
    <row r="55" customFormat="false" ht="15" hidden="false" customHeight="true" outlineLevel="0" collapsed="false">
      <c r="B55" s="137" t="s">
        <v>54</v>
      </c>
      <c r="C55" s="137" t="s">
        <v>303</v>
      </c>
      <c r="D55" s="137" t="s">
        <v>101</v>
      </c>
      <c r="E55" s="137"/>
      <c r="F55" s="137" t="s">
        <v>292</v>
      </c>
      <c r="G55" s="137" t="s">
        <v>58</v>
      </c>
      <c r="H55" s="168"/>
      <c r="I55" s="168"/>
      <c r="J55" s="168"/>
    </row>
    <row r="56" customFormat="false" ht="15" hidden="false" customHeight="true" outlineLevel="0" collapsed="false">
      <c r="B56" s="52" t="n">
        <v>1</v>
      </c>
      <c r="C56" s="176" t="s">
        <v>317</v>
      </c>
      <c r="D56" s="156" t="s">
        <v>318</v>
      </c>
      <c r="E56" s="156"/>
      <c r="F56" s="176"/>
      <c r="G56" s="177"/>
      <c r="H56" s="168"/>
      <c r="I56" s="168"/>
      <c r="J56" s="168"/>
    </row>
    <row r="57" customFormat="false" ht="15" hidden="false" customHeight="true" outlineLevel="0" collapsed="false">
      <c r="B57" s="52" t="n">
        <v>2</v>
      </c>
      <c r="C57" s="176" t="s">
        <v>319</v>
      </c>
      <c r="D57" s="156" t="s">
        <v>320</v>
      </c>
      <c r="E57" s="156"/>
      <c r="F57" s="176"/>
      <c r="G57" s="177"/>
      <c r="H57" s="168"/>
      <c r="I57" s="168"/>
      <c r="J57" s="168"/>
    </row>
    <row r="58" customFormat="false" ht="26.25" hidden="false" customHeight="true" outlineLevel="0" collapsed="false">
      <c r="B58" s="52" t="n">
        <v>3</v>
      </c>
      <c r="C58" s="176" t="s">
        <v>321</v>
      </c>
      <c r="D58" s="156" t="s">
        <v>322</v>
      </c>
      <c r="E58" s="156"/>
      <c r="F58" s="176"/>
      <c r="G58" s="177"/>
      <c r="H58" s="168"/>
      <c r="I58" s="168"/>
      <c r="J58" s="168"/>
    </row>
    <row r="59" customFormat="false" ht="26.25" hidden="false" customHeight="true" outlineLevel="0" collapsed="false">
      <c r="B59" s="52" t="n">
        <v>4</v>
      </c>
      <c r="C59" s="176" t="s">
        <v>323</v>
      </c>
      <c r="D59" s="156" t="s">
        <v>324</v>
      </c>
      <c r="E59" s="156"/>
      <c r="F59" s="176"/>
      <c r="G59" s="177"/>
      <c r="H59" s="168"/>
      <c r="I59" s="168"/>
      <c r="J59" s="168"/>
    </row>
    <row r="60" customFormat="false" ht="15" hidden="false" customHeight="true" outlineLevel="0" collapsed="false">
      <c r="B60" s="52" t="n">
        <v>5</v>
      </c>
      <c r="C60" s="176" t="s">
        <v>325</v>
      </c>
      <c r="D60" s="156" t="s">
        <v>326</v>
      </c>
      <c r="E60" s="156"/>
      <c r="F60" s="176"/>
      <c r="G60" s="177"/>
      <c r="H60" s="168"/>
      <c r="I60" s="168"/>
      <c r="J60" s="168"/>
    </row>
    <row r="61" customFormat="false" ht="20.25" hidden="false" customHeight="true" outlineLevel="0" collapsed="false">
      <c r="B61" s="52" t="n">
        <v>6</v>
      </c>
      <c r="C61" s="176" t="s">
        <v>327</v>
      </c>
      <c r="D61" s="156" t="s">
        <v>328</v>
      </c>
      <c r="E61" s="156"/>
      <c r="F61" s="176"/>
      <c r="G61" s="177"/>
      <c r="H61" s="168"/>
      <c r="I61" s="168"/>
      <c r="J61" s="168"/>
    </row>
    <row r="62" customFormat="false" ht="12.75" hidden="false" customHeight="true" outlineLevel="0" collapsed="false">
      <c r="B62" s="168"/>
      <c r="C62" s="168"/>
      <c r="D62" s="168"/>
      <c r="E62" s="168"/>
      <c r="F62" s="168"/>
      <c r="G62" s="168"/>
      <c r="H62" s="168"/>
      <c r="I62" s="168"/>
      <c r="J62" s="168"/>
    </row>
    <row r="63" customFormat="false" ht="15" hidden="false" customHeight="false" outlineLevel="0" collapsed="false">
      <c r="B63" s="134" t="s">
        <v>329</v>
      </c>
      <c r="C63" s="168"/>
      <c r="D63" s="168"/>
      <c r="E63" s="168"/>
      <c r="F63" s="168"/>
      <c r="G63" s="168"/>
      <c r="H63" s="168"/>
      <c r="I63" s="168"/>
      <c r="J63" s="168"/>
    </row>
    <row r="64" customFormat="false" ht="15" hidden="false" customHeight="true" outlineLevel="0" collapsed="false">
      <c r="B64" s="137" t="s">
        <v>54</v>
      </c>
      <c r="C64" s="137" t="s">
        <v>303</v>
      </c>
      <c r="D64" s="137" t="s">
        <v>101</v>
      </c>
      <c r="E64" s="137"/>
      <c r="F64" s="137" t="s">
        <v>292</v>
      </c>
      <c r="G64" s="137" t="s">
        <v>58</v>
      </c>
      <c r="H64" s="168"/>
      <c r="I64" s="168"/>
      <c r="J64" s="168"/>
    </row>
    <row r="65" customFormat="false" ht="55.5" hidden="false" customHeight="true" outlineLevel="0" collapsed="false">
      <c r="B65" s="52" t="n">
        <v>1</v>
      </c>
      <c r="C65" s="176" t="s">
        <v>330</v>
      </c>
      <c r="D65" s="156" t="s">
        <v>331</v>
      </c>
      <c r="E65" s="156"/>
      <c r="F65" s="176"/>
      <c r="G65" s="177"/>
      <c r="H65" s="168"/>
      <c r="I65" s="168"/>
      <c r="J65" s="168"/>
    </row>
    <row r="66" customFormat="false" ht="26.25" hidden="false" customHeight="true" outlineLevel="0" collapsed="false">
      <c r="B66" s="52" t="n">
        <v>2</v>
      </c>
      <c r="C66" s="176" t="s">
        <v>332</v>
      </c>
      <c r="D66" s="156" t="s">
        <v>333</v>
      </c>
      <c r="E66" s="156"/>
      <c r="F66" s="176"/>
      <c r="G66" s="177"/>
      <c r="H66" s="168"/>
      <c r="I66" s="168"/>
      <c r="J66" s="168"/>
    </row>
    <row r="67" customFormat="false" ht="26.25" hidden="false" customHeight="true" outlineLevel="0" collapsed="false">
      <c r="B67" s="52" t="n">
        <v>3</v>
      </c>
      <c r="C67" s="176" t="s">
        <v>334</v>
      </c>
      <c r="D67" s="156" t="s">
        <v>335</v>
      </c>
      <c r="E67" s="156"/>
      <c r="F67" s="176"/>
      <c r="G67" s="177"/>
      <c r="H67" s="168"/>
      <c r="I67" s="168"/>
      <c r="J67" s="168"/>
    </row>
    <row r="68" customFormat="false" ht="26.25" hidden="false" customHeight="true" outlineLevel="0" collapsed="false">
      <c r="B68" s="52" t="n">
        <v>4</v>
      </c>
      <c r="C68" s="176" t="s">
        <v>336</v>
      </c>
      <c r="D68" s="156" t="s">
        <v>337</v>
      </c>
      <c r="E68" s="156"/>
      <c r="F68" s="176"/>
      <c r="G68" s="177"/>
      <c r="H68" s="168"/>
      <c r="I68" s="168"/>
      <c r="J68" s="168"/>
    </row>
    <row r="69" customFormat="false" ht="43.5" hidden="false" customHeight="true" outlineLevel="0" collapsed="false">
      <c r="B69" s="52" t="n">
        <v>5</v>
      </c>
      <c r="C69" s="176" t="s">
        <v>338</v>
      </c>
      <c r="D69" s="156" t="s">
        <v>339</v>
      </c>
      <c r="E69" s="156"/>
      <c r="F69" s="176"/>
      <c r="G69" s="177"/>
      <c r="H69" s="168"/>
      <c r="I69" s="168"/>
      <c r="J69" s="168"/>
    </row>
    <row r="70" customFormat="false" ht="26.25" hidden="false" customHeight="true" outlineLevel="0" collapsed="false">
      <c r="B70" s="52" t="n">
        <v>6</v>
      </c>
      <c r="C70" s="176" t="s">
        <v>340</v>
      </c>
      <c r="D70" s="156" t="s">
        <v>341</v>
      </c>
      <c r="E70" s="156"/>
      <c r="F70" s="176"/>
      <c r="G70" s="177"/>
      <c r="H70" s="168"/>
      <c r="I70" s="168"/>
      <c r="J70" s="168"/>
    </row>
    <row r="71" customFormat="false" ht="12.75" hidden="false" customHeight="true" outlineLevel="0" collapsed="false">
      <c r="B71" s="168"/>
      <c r="C71" s="168"/>
      <c r="D71" s="168"/>
      <c r="E71" s="168"/>
      <c r="F71" s="168"/>
      <c r="G71" s="168"/>
      <c r="H71" s="168"/>
      <c r="I71" s="168"/>
      <c r="J71" s="168"/>
    </row>
    <row r="72" customFormat="false" ht="15" hidden="false" customHeight="false" outlineLevel="0" collapsed="false">
      <c r="B72" s="168" t="s">
        <v>342</v>
      </c>
      <c r="C72" s="168"/>
      <c r="D72" s="168"/>
      <c r="E72" s="168"/>
      <c r="F72" s="168"/>
      <c r="G72" s="168"/>
      <c r="H72" s="168"/>
      <c r="I72" s="168"/>
      <c r="J72" s="168"/>
    </row>
    <row r="73" customFormat="false" ht="15" hidden="false" customHeight="false" outlineLevel="0" collapsed="false">
      <c r="B73" s="168" t="s">
        <v>343</v>
      </c>
      <c r="C73" s="168"/>
      <c r="D73" s="168"/>
      <c r="E73" s="168"/>
      <c r="F73" s="168"/>
      <c r="G73" s="168"/>
      <c r="H73" s="168"/>
      <c r="I73" s="168"/>
      <c r="J73" s="168"/>
    </row>
    <row r="74" customFormat="false" ht="15" hidden="false" customHeight="true" outlineLevel="0" collapsed="false">
      <c r="B74" s="137" t="s">
        <v>54</v>
      </c>
      <c r="C74" s="137" t="s">
        <v>344</v>
      </c>
      <c r="D74" s="137" t="s">
        <v>101</v>
      </c>
      <c r="E74" s="137"/>
      <c r="F74" s="137" t="s">
        <v>345</v>
      </c>
      <c r="G74" s="137" t="s">
        <v>216</v>
      </c>
      <c r="H74" s="137" t="s">
        <v>56</v>
      </c>
      <c r="I74" s="168"/>
      <c r="J74" s="168"/>
    </row>
    <row r="75" customFormat="false" ht="27.75" hidden="false" customHeight="true" outlineLevel="0" collapsed="false">
      <c r="B75" s="52" t="n">
        <v>1</v>
      </c>
      <c r="C75" s="176" t="s">
        <v>121</v>
      </c>
      <c r="D75" s="156" t="s">
        <v>346</v>
      </c>
      <c r="E75" s="156"/>
      <c r="F75" s="156" t="s">
        <v>347</v>
      </c>
      <c r="G75" s="156" t="s">
        <v>348</v>
      </c>
      <c r="H75" s="179" t="s">
        <v>349</v>
      </c>
      <c r="I75" s="168"/>
      <c r="J75" s="168"/>
    </row>
    <row r="76" customFormat="false" ht="27.75" hidden="false" customHeight="true" outlineLevel="0" collapsed="false">
      <c r="B76" s="52" t="n">
        <v>2</v>
      </c>
      <c r="C76" s="176" t="s">
        <v>350</v>
      </c>
      <c r="D76" s="156" t="s">
        <v>351</v>
      </c>
      <c r="E76" s="156"/>
      <c r="F76" s="179" t="s">
        <v>352</v>
      </c>
      <c r="G76" s="179" t="s">
        <v>353</v>
      </c>
      <c r="H76" s="179" t="s">
        <v>354</v>
      </c>
      <c r="I76" s="168"/>
      <c r="J76" s="168"/>
    </row>
    <row r="77" customFormat="false" ht="27.75" hidden="false" customHeight="true" outlineLevel="0" collapsed="false">
      <c r="B77" s="52" t="n">
        <v>3</v>
      </c>
      <c r="C77" s="176" t="s">
        <v>123</v>
      </c>
      <c r="D77" s="156" t="s">
        <v>355</v>
      </c>
      <c r="E77" s="156"/>
      <c r="F77" s="179" t="s">
        <v>356</v>
      </c>
      <c r="G77" s="179" t="s">
        <v>357</v>
      </c>
      <c r="H77" s="179" t="s">
        <v>358</v>
      </c>
      <c r="I77" s="168"/>
      <c r="J77" s="168"/>
    </row>
    <row r="78" customFormat="false" ht="27.75" hidden="false" customHeight="true" outlineLevel="0" collapsed="false">
      <c r="B78" s="52" t="n">
        <v>4</v>
      </c>
      <c r="C78" s="176" t="s">
        <v>124</v>
      </c>
      <c r="D78" s="156" t="s">
        <v>359</v>
      </c>
      <c r="E78" s="156"/>
      <c r="F78" s="179" t="s">
        <v>360</v>
      </c>
      <c r="G78" s="179" t="s">
        <v>361</v>
      </c>
      <c r="H78" s="176" t="s">
        <v>362</v>
      </c>
      <c r="I78" s="168"/>
      <c r="J78" s="168"/>
    </row>
    <row r="79" customFormat="false" ht="12.75" hidden="false" customHeight="true" outlineLevel="0" collapsed="false">
      <c r="B79" s="168"/>
      <c r="C79" s="168"/>
      <c r="D79" s="168"/>
      <c r="E79" s="168"/>
      <c r="F79" s="168"/>
      <c r="G79" s="168"/>
      <c r="H79" s="168"/>
      <c r="I79" s="168"/>
      <c r="J79" s="168"/>
    </row>
    <row r="80" customFormat="false" ht="15" hidden="false" customHeight="false" outlineLevel="0" collapsed="false">
      <c r="B80" s="168" t="s">
        <v>363</v>
      </c>
      <c r="C80" s="168"/>
      <c r="D80" s="168"/>
      <c r="E80" s="168"/>
      <c r="F80" s="168"/>
      <c r="G80" s="168"/>
      <c r="H80" s="168"/>
      <c r="I80" s="168"/>
      <c r="J80" s="168"/>
    </row>
    <row r="81" customFormat="false" ht="15" hidden="false" customHeight="false" outlineLevel="0" collapsed="false">
      <c r="B81" s="137" t="s">
        <v>54</v>
      </c>
      <c r="C81" s="137" t="s">
        <v>344</v>
      </c>
      <c r="D81" s="137" t="s">
        <v>364</v>
      </c>
      <c r="E81" s="137" t="s">
        <v>365</v>
      </c>
      <c r="F81" s="137" t="s">
        <v>101</v>
      </c>
      <c r="G81" s="137" t="s">
        <v>366</v>
      </c>
      <c r="H81" s="168"/>
      <c r="I81" s="168"/>
      <c r="J81" s="168"/>
    </row>
    <row r="82" customFormat="false" ht="15" hidden="false" customHeight="false" outlineLevel="0" collapsed="false">
      <c r="B82" s="171" t="n">
        <v>1</v>
      </c>
      <c r="C82" s="180" t="s">
        <v>121</v>
      </c>
      <c r="D82" s="180" t="s">
        <v>367</v>
      </c>
      <c r="E82" s="180" t="s">
        <v>368</v>
      </c>
      <c r="F82" s="180" t="s">
        <v>369</v>
      </c>
      <c r="G82" s="180"/>
      <c r="H82" s="168"/>
      <c r="I82" s="168"/>
      <c r="J82" s="168"/>
    </row>
    <row r="83" customFormat="false" ht="15" hidden="false" customHeight="false" outlineLevel="0" collapsed="false">
      <c r="B83" s="171" t="n">
        <v>2</v>
      </c>
      <c r="C83" s="180"/>
      <c r="D83" s="180"/>
      <c r="E83" s="180" t="s">
        <v>370</v>
      </c>
      <c r="F83" s="180" t="s">
        <v>371</v>
      </c>
      <c r="G83" s="180"/>
      <c r="H83" s="168"/>
      <c r="I83" s="168"/>
      <c r="J83" s="168"/>
    </row>
    <row r="84" customFormat="false" ht="15" hidden="false" customHeight="false" outlineLevel="0" collapsed="false">
      <c r="B84" s="171" t="n">
        <v>3</v>
      </c>
      <c r="C84" s="180"/>
      <c r="D84" s="180"/>
      <c r="E84" s="180" t="s">
        <v>372</v>
      </c>
      <c r="F84" s="180" t="s">
        <v>373</v>
      </c>
      <c r="G84" s="180"/>
      <c r="H84" s="168"/>
      <c r="I84" s="168"/>
      <c r="J84" s="168"/>
    </row>
    <row r="85" customFormat="false" ht="15" hidden="false" customHeight="false" outlineLevel="0" collapsed="false">
      <c r="B85" s="171" t="n">
        <v>4</v>
      </c>
      <c r="C85" s="180"/>
      <c r="D85" s="180" t="s">
        <v>374</v>
      </c>
      <c r="E85" s="180" t="s">
        <v>368</v>
      </c>
      <c r="F85" s="180" t="s">
        <v>375</v>
      </c>
      <c r="G85" s="180"/>
      <c r="H85" s="168"/>
      <c r="I85" s="168"/>
      <c r="J85" s="168"/>
    </row>
    <row r="86" customFormat="false" ht="15" hidden="false" customHeight="false" outlineLevel="0" collapsed="false">
      <c r="B86" s="171" t="n">
        <v>5</v>
      </c>
      <c r="C86" s="180"/>
      <c r="D86" s="180" t="s">
        <v>376</v>
      </c>
      <c r="E86" s="180" t="s">
        <v>377</v>
      </c>
      <c r="F86" s="180" t="s">
        <v>378</v>
      </c>
      <c r="G86" s="180"/>
      <c r="H86" s="168"/>
      <c r="I86" s="168"/>
      <c r="J86" s="168"/>
    </row>
    <row r="87" customFormat="false" ht="25.35" hidden="false" customHeight="false" outlineLevel="0" collapsed="false">
      <c r="B87" s="171" t="n">
        <v>6</v>
      </c>
      <c r="C87" s="180"/>
      <c r="D87" s="180" t="s">
        <v>379</v>
      </c>
      <c r="E87" s="180" t="s">
        <v>42</v>
      </c>
      <c r="F87" s="180" t="s">
        <v>380</v>
      </c>
      <c r="G87" s="180"/>
      <c r="H87" s="168"/>
      <c r="I87" s="168"/>
      <c r="J87" s="168"/>
    </row>
    <row r="88" customFormat="false" ht="15" hidden="false" customHeight="false" outlineLevel="0" collapsed="false">
      <c r="B88" s="171" t="n">
        <v>7</v>
      </c>
      <c r="C88" s="180" t="s">
        <v>350</v>
      </c>
      <c r="D88" s="180" t="s">
        <v>367</v>
      </c>
      <c r="E88" s="180" t="s">
        <v>368</v>
      </c>
      <c r="F88" s="180" t="s">
        <v>369</v>
      </c>
      <c r="G88" s="180"/>
      <c r="H88" s="168"/>
      <c r="I88" s="168"/>
      <c r="J88" s="168"/>
    </row>
    <row r="89" customFormat="false" ht="15" hidden="false" customHeight="false" outlineLevel="0" collapsed="false">
      <c r="B89" s="171" t="n">
        <v>8</v>
      </c>
      <c r="C89" s="180"/>
      <c r="D89" s="180"/>
      <c r="E89" s="180" t="s">
        <v>370</v>
      </c>
      <c r="F89" s="180" t="s">
        <v>371</v>
      </c>
      <c r="G89" s="180"/>
      <c r="H89" s="168"/>
      <c r="I89" s="168"/>
      <c r="J89" s="168"/>
    </row>
    <row r="90" customFormat="false" ht="15" hidden="false" customHeight="false" outlineLevel="0" collapsed="false">
      <c r="B90" s="171" t="n">
        <v>9</v>
      </c>
      <c r="C90" s="180"/>
      <c r="D90" s="180"/>
      <c r="E90" s="180" t="s">
        <v>372</v>
      </c>
      <c r="F90" s="180" t="s">
        <v>373</v>
      </c>
      <c r="G90" s="180"/>
      <c r="H90" s="168"/>
      <c r="I90" s="168"/>
      <c r="J90" s="168"/>
    </row>
    <row r="91" customFormat="false" ht="15" hidden="false" customHeight="false" outlineLevel="0" collapsed="false">
      <c r="B91" s="171" t="n">
        <v>10</v>
      </c>
      <c r="C91" s="180"/>
      <c r="D91" s="180" t="s">
        <v>374</v>
      </c>
      <c r="E91" s="180" t="s">
        <v>368</v>
      </c>
      <c r="F91" s="180" t="s">
        <v>375</v>
      </c>
      <c r="G91" s="180"/>
      <c r="H91" s="168"/>
      <c r="I91" s="168"/>
      <c r="J91" s="168"/>
    </row>
    <row r="92" customFormat="false" ht="15" hidden="false" customHeight="false" outlineLevel="0" collapsed="false">
      <c r="B92" s="171" t="n">
        <v>11</v>
      </c>
      <c r="C92" s="180"/>
      <c r="D92" s="180" t="s">
        <v>376</v>
      </c>
      <c r="E92" s="180" t="s">
        <v>377</v>
      </c>
      <c r="F92" s="180" t="s">
        <v>378</v>
      </c>
      <c r="G92" s="180"/>
      <c r="H92" s="168"/>
      <c r="I92" s="168"/>
      <c r="J92" s="168"/>
    </row>
    <row r="93" customFormat="false" ht="25.35" hidden="false" customHeight="false" outlineLevel="0" collapsed="false">
      <c r="B93" s="171" t="n">
        <v>12</v>
      </c>
      <c r="C93" s="180"/>
      <c r="D93" s="180" t="s">
        <v>379</v>
      </c>
      <c r="E93" s="180" t="s">
        <v>42</v>
      </c>
      <c r="F93" s="180" t="s">
        <v>380</v>
      </c>
      <c r="G93" s="180"/>
      <c r="H93" s="168"/>
      <c r="I93" s="168"/>
      <c r="J93" s="168"/>
    </row>
    <row r="94" customFormat="false" ht="15" hidden="false" customHeight="false" outlineLevel="0" collapsed="false">
      <c r="B94" s="171" t="n">
        <v>13</v>
      </c>
      <c r="C94" s="180" t="s">
        <v>123</v>
      </c>
      <c r="D94" s="180" t="s">
        <v>367</v>
      </c>
      <c r="E94" s="180" t="s">
        <v>368</v>
      </c>
      <c r="F94" s="180" t="s">
        <v>369</v>
      </c>
      <c r="G94" s="181"/>
      <c r="H94" s="168"/>
      <c r="I94" s="168"/>
      <c r="J94" s="168"/>
    </row>
    <row r="95" customFormat="false" ht="15" hidden="false" customHeight="false" outlineLevel="0" collapsed="false">
      <c r="B95" s="171" t="n">
        <v>14</v>
      </c>
      <c r="C95" s="176"/>
      <c r="D95" s="180"/>
      <c r="E95" s="180" t="s">
        <v>370</v>
      </c>
      <c r="F95" s="180" t="s">
        <v>371</v>
      </c>
      <c r="G95" s="181"/>
      <c r="H95" s="168"/>
      <c r="I95" s="168"/>
      <c r="J95" s="168"/>
    </row>
    <row r="96" customFormat="false" ht="15" hidden="false" customHeight="false" outlineLevel="0" collapsed="false">
      <c r="B96" s="171" t="n">
        <v>15</v>
      </c>
      <c r="C96" s="176"/>
      <c r="D96" s="180"/>
      <c r="E96" s="180" t="s">
        <v>372</v>
      </c>
      <c r="F96" s="180" t="s">
        <v>373</v>
      </c>
      <c r="G96" s="181"/>
      <c r="H96" s="168"/>
      <c r="I96" s="168"/>
      <c r="J96" s="168"/>
    </row>
    <row r="97" customFormat="false" ht="15" hidden="false" customHeight="false" outlineLevel="0" collapsed="false">
      <c r="B97" s="171" t="n">
        <v>16</v>
      </c>
      <c r="C97" s="176"/>
      <c r="D97" s="180" t="s">
        <v>374</v>
      </c>
      <c r="E97" s="180" t="s">
        <v>368</v>
      </c>
      <c r="F97" s="180" t="s">
        <v>375</v>
      </c>
      <c r="G97" s="181"/>
      <c r="H97" s="168"/>
      <c r="I97" s="168"/>
      <c r="J97" s="168"/>
    </row>
    <row r="98" customFormat="false" ht="15" hidden="false" customHeight="false" outlineLevel="0" collapsed="false">
      <c r="B98" s="171" t="n">
        <v>17</v>
      </c>
      <c r="C98" s="176"/>
      <c r="D98" s="180" t="s">
        <v>376</v>
      </c>
      <c r="E98" s="180" t="s">
        <v>377</v>
      </c>
      <c r="F98" s="180" t="s">
        <v>378</v>
      </c>
      <c r="G98" s="181"/>
      <c r="H98" s="168"/>
      <c r="I98" s="168"/>
      <c r="J98" s="168"/>
    </row>
    <row r="99" customFormat="false" ht="25.35" hidden="false" customHeight="false" outlineLevel="0" collapsed="false">
      <c r="B99" s="171" t="n">
        <v>18</v>
      </c>
      <c r="C99" s="176"/>
      <c r="D99" s="180" t="s">
        <v>379</v>
      </c>
      <c r="E99" s="180" t="s">
        <v>42</v>
      </c>
      <c r="F99" s="180" t="s">
        <v>380</v>
      </c>
      <c r="G99" s="181"/>
      <c r="H99" s="168"/>
      <c r="I99" s="168"/>
      <c r="J99" s="168"/>
    </row>
    <row r="100" customFormat="false" ht="15" hidden="false" customHeight="false" outlineLevel="0" collapsed="false">
      <c r="B100" s="171" t="n">
        <v>19</v>
      </c>
      <c r="C100" s="180" t="s">
        <v>124</v>
      </c>
      <c r="D100" s="180" t="s">
        <v>367</v>
      </c>
      <c r="E100" s="180" t="s">
        <v>368</v>
      </c>
      <c r="F100" s="180" t="s">
        <v>369</v>
      </c>
      <c r="G100" s="181"/>
      <c r="H100" s="168"/>
      <c r="I100" s="168"/>
      <c r="J100" s="168"/>
    </row>
    <row r="101" customFormat="false" ht="15" hidden="false" customHeight="false" outlineLevel="0" collapsed="false">
      <c r="B101" s="171" t="n">
        <v>20</v>
      </c>
      <c r="C101" s="176"/>
      <c r="D101" s="180"/>
      <c r="E101" s="180" t="s">
        <v>370</v>
      </c>
      <c r="F101" s="180" t="s">
        <v>371</v>
      </c>
      <c r="G101" s="181"/>
      <c r="H101" s="168"/>
      <c r="I101" s="168"/>
      <c r="J101" s="168"/>
    </row>
    <row r="102" customFormat="false" ht="15" hidden="false" customHeight="false" outlineLevel="0" collapsed="false">
      <c r="B102" s="171" t="n">
        <v>21</v>
      </c>
      <c r="C102" s="176"/>
      <c r="D102" s="180"/>
      <c r="E102" s="180" t="s">
        <v>372</v>
      </c>
      <c r="F102" s="180" t="s">
        <v>373</v>
      </c>
      <c r="G102" s="181"/>
      <c r="H102" s="168"/>
      <c r="I102" s="168"/>
      <c r="J102" s="168"/>
    </row>
    <row r="103" customFormat="false" ht="15" hidden="false" customHeight="false" outlineLevel="0" collapsed="false">
      <c r="B103" s="171" t="n">
        <v>22</v>
      </c>
      <c r="C103" s="176"/>
      <c r="D103" s="180" t="s">
        <v>374</v>
      </c>
      <c r="E103" s="180" t="s">
        <v>368</v>
      </c>
      <c r="F103" s="180" t="s">
        <v>375</v>
      </c>
      <c r="G103" s="181"/>
      <c r="H103" s="168"/>
      <c r="I103" s="168"/>
      <c r="J103" s="168"/>
    </row>
    <row r="104" customFormat="false" ht="15" hidden="false" customHeight="false" outlineLevel="0" collapsed="false">
      <c r="B104" s="171" t="n">
        <v>23</v>
      </c>
      <c r="C104" s="176"/>
      <c r="D104" s="180" t="s">
        <v>376</v>
      </c>
      <c r="E104" s="180" t="s">
        <v>377</v>
      </c>
      <c r="F104" s="180" t="s">
        <v>378</v>
      </c>
      <c r="G104" s="181"/>
      <c r="H104" s="168"/>
      <c r="I104" s="168"/>
      <c r="J104" s="168"/>
    </row>
    <row r="105" customFormat="false" ht="25.35" hidden="false" customHeight="false" outlineLevel="0" collapsed="false">
      <c r="B105" s="171" t="n">
        <v>24</v>
      </c>
      <c r="C105" s="176"/>
      <c r="D105" s="180" t="s">
        <v>379</v>
      </c>
      <c r="E105" s="180" t="s">
        <v>42</v>
      </c>
      <c r="F105" s="180" t="s">
        <v>380</v>
      </c>
      <c r="G105" s="181"/>
      <c r="H105" s="168"/>
      <c r="I105" s="168"/>
      <c r="J105" s="168"/>
    </row>
    <row r="106" customFormat="false" ht="12.75" hidden="false" customHeight="true" outlineLevel="0" collapsed="false">
      <c r="B106" s="168"/>
      <c r="C106" s="168"/>
      <c r="D106" s="168"/>
      <c r="E106" s="168"/>
      <c r="F106" s="168"/>
      <c r="G106" s="168"/>
      <c r="H106" s="168"/>
      <c r="I106" s="168"/>
      <c r="J106" s="168"/>
    </row>
    <row r="107" customFormat="false" ht="15" hidden="false" customHeight="false" outlineLevel="0" collapsed="false">
      <c r="B107" s="168" t="s">
        <v>381</v>
      </c>
      <c r="C107" s="168"/>
      <c r="D107" s="168"/>
      <c r="E107" s="168"/>
      <c r="F107" s="168"/>
      <c r="G107" s="168"/>
      <c r="H107" s="168"/>
      <c r="I107" s="168"/>
      <c r="J107" s="168"/>
    </row>
    <row r="108" customFormat="false" ht="15" hidden="false" customHeight="true" outlineLevel="0" collapsed="false">
      <c r="B108" s="137" t="s">
        <v>54</v>
      </c>
      <c r="C108" s="137" t="s">
        <v>364</v>
      </c>
      <c r="D108" s="137" t="s">
        <v>101</v>
      </c>
      <c r="E108" s="137"/>
      <c r="F108" s="137" t="s">
        <v>382</v>
      </c>
      <c r="G108" s="137" t="s">
        <v>58</v>
      </c>
      <c r="H108" s="168"/>
      <c r="I108" s="168"/>
      <c r="J108" s="168"/>
    </row>
    <row r="109" customFormat="false" ht="39" hidden="false" customHeight="true" outlineLevel="0" collapsed="false">
      <c r="B109" s="171" t="n">
        <v>1</v>
      </c>
      <c r="C109" s="159" t="s">
        <v>383</v>
      </c>
      <c r="D109" s="159" t="s">
        <v>384</v>
      </c>
      <c r="E109" s="159"/>
      <c r="F109" s="159" t="s">
        <v>385</v>
      </c>
      <c r="G109" s="159" t="s">
        <v>386</v>
      </c>
      <c r="H109" s="168"/>
      <c r="I109" s="168"/>
      <c r="J109" s="168"/>
    </row>
    <row r="110" customFormat="false" ht="39" hidden="false" customHeight="true" outlineLevel="0" collapsed="false">
      <c r="B110" s="171" t="n">
        <v>2</v>
      </c>
      <c r="C110" s="159" t="s">
        <v>387</v>
      </c>
      <c r="D110" s="159" t="s">
        <v>388</v>
      </c>
      <c r="E110" s="159"/>
      <c r="F110" s="159" t="s">
        <v>389</v>
      </c>
      <c r="G110" s="159" t="s">
        <v>390</v>
      </c>
      <c r="H110" s="168"/>
      <c r="I110" s="168"/>
      <c r="J110" s="168"/>
    </row>
    <row r="111" customFormat="false" ht="39" hidden="false" customHeight="true" outlineLevel="0" collapsed="false">
      <c r="B111" s="171" t="n">
        <v>3</v>
      </c>
      <c r="C111" s="159" t="s">
        <v>391</v>
      </c>
      <c r="D111" s="159" t="s">
        <v>392</v>
      </c>
      <c r="E111" s="159"/>
      <c r="F111" s="159" t="s">
        <v>393</v>
      </c>
      <c r="G111" s="159" t="s">
        <v>394</v>
      </c>
      <c r="H111" s="168"/>
      <c r="I111" s="168"/>
      <c r="J111" s="168"/>
    </row>
    <row r="112" customFormat="false" ht="39" hidden="false" customHeight="true" outlineLevel="0" collapsed="false">
      <c r="B112" s="171" t="n">
        <v>4</v>
      </c>
      <c r="C112" s="159" t="s">
        <v>395</v>
      </c>
      <c r="D112" s="159" t="s">
        <v>396</v>
      </c>
      <c r="E112" s="159"/>
      <c r="F112" s="159" t="s">
        <v>397</v>
      </c>
      <c r="G112" s="159" t="s">
        <v>398</v>
      </c>
      <c r="H112" s="168"/>
      <c r="I112" s="168"/>
      <c r="J112" s="168"/>
    </row>
    <row r="113" customFormat="false" ht="39" hidden="false" customHeight="true" outlineLevel="0" collapsed="false">
      <c r="B113" s="171" t="n">
        <v>5</v>
      </c>
      <c r="C113" s="182" t="s">
        <v>399</v>
      </c>
      <c r="D113" s="159" t="s">
        <v>400</v>
      </c>
      <c r="E113" s="159"/>
      <c r="F113" s="182" t="s">
        <v>401</v>
      </c>
      <c r="G113" s="182" t="s">
        <v>402</v>
      </c>
      <c r="H113" s="168"/>
      <c r="I113" s="168"/>
      <c r="J113" s="168"/>
    </row>
    <row r="114" customFormat="false" ht="18" hidden="false" customHeight="true" outlineLevel="0" collapsed="false"/>
  </sheetData>
  <mergeCells count="67">
    <mergeCell ref="B1:C3"/>
    <mergeCell ref="D1:F3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4:E34"/>
    <mergeCell ref="D35:E35"/>
    <mergeCell ref="D36:E36"/>
    <mergeCell ref="D37:E37"/>
    <mergeCell ref="D38:E38"/>
    <mergeCell ref="D39:E39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5:E55"/>
    <mergeCell ref="D56:E56"/>
    <mergeCell ref="D57:E57"/>
    <mergeCell ref="D58:E58"/>
    <mergeCell ref="D59:E59"/>
    <mergeCell ref="D60:E60"/>
    <mergeCell ref="D61:E61"/>
    <mergeCell ref="D64:E64"/>
    <mergeCell ref="D65:E65"/>
    <mergeCell ref="D66:E66"/>
    <mergeCell ref="D67:E67"/>
    <mergeCell ref="D68:E68"/>
    <mergeCell ref="D69:E69"/>
    <mergeCell ref="D70:E70"/>
    <mergeCell ref="D74:E74"/>
    <mergeCell ref="D75:E75"/>
    <mergeCell ref="D76:E76"/>
    <mergeCell ref="D77:E77"/>
    <mergeCell ref="D78:E78"/>
    <mergeCell ref="D108:E108"/>
    <mergeCell ref="D109:E109"/>
    <mergeCell ref="D110:E110"/>
    <mergeCell ref="D111:E111"/>
    <mergeCell ref="D112:E112"/>
    <mergeCell ref="D113:E1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3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H1" activeCellId="1" sqref="H75:H78 H1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5.86"/>
    <col collapsed="false" customWidth="true" hidden="false" outlineLevel="0" max="3" min="3" style="58" width="28.42"/>
    <col collapsed="false" customWidth="true" hidden="false" outlineLevel="0" max="4" min="4" style="58" width="23.14"/>
    <col collapsed="false" customWidth="true" hidden="false" outlineLevel="0" max="5" min="5" style="58" width="13.57"/>
    <col collapsed="false" customWidth="true" hidden="false" outlineLevel="0" max="6" min="6" style="58" width="44.14"/>
    <col collapsed="false" customWidth="true" hidden="false" outlineLevel="0" max="7" min="7" style="58" width="32.15"/>
    <col collapsed="false" customWidth="true" hidden="false" outlineLevel="0" max="8" min="8" style="58" width="33.86"/>
    <col collapsed="false" customWidth="true" hidden="false" outlineLevel="0" max="9" min="9" style="58" width="8.57"/>
    <col collapsed="false" customWidth="false" hidden="false" outlineLevel="0" max="16384" min="10" style="58" width="9"/>
  </cols>
  <sheetData>
    <row r="1" customFormat="false" ht="17.25" hidden="false" customHeight="true" outlineLevel="0" collapsed="false">
      <c r="A1" s="60" t="s">
        <v>37</v>
      </c>
      <c r="B1" s="61"/>
      <c r="C1" s="61"/>
      <c r="D1" s="62" t="s">
        <v>403</v>
      </c>
      <c r="E1" s="62"/>
      <c r="F1" s="62"/>
      <c r="G1" s="62"/>
      <c r="H1" s="131" t="str">
        <f aca="false">'0. Tasklist'!$G$1</f>
        <v>Mã số: BM03-QT-OP-01</v>
      </c>
    </row>
    <row r="2" customFormat="false" ht="17.25" hidden="false" customHeight="true" outlineLevel="0" collapsed="false">
      <c r="A2" s="60"/>
      <c r="B2" s="61"/>
      <c r="C2" s="61"/>
      <c r="D2" s="62"/>
      <c r="E2" s="62"/>
      <c r="F2" s="62"/>
      <c r="G2" s="62"/>
      <c r="H2" s="131" t="str">
        <f aca="false">'0. Tasklist'!$G$2</f>
        <v>Ngày hiệu lực: 10/09/2025</v>
      </c>
    </row>
    <row r="3" customFormat="false" ht="17.25" hidden="false" customHeight="true" outlineLevel="0" collapsed="false">
      <c r="A3" s="60"/>
      <c r="B3" s="61"/>
      <c r="C3" s="61"/>
      <c r="D3" s="62"/>
      <c r="E3" s="62"/>
      <c r="F3" s="62"/>
      <c r="G3" s="62"/>
      <c r="H3" s="131" t="str">
        <f aca="false">'0. Tasklist'!$G$3</f>
        <v>Lần ban hành: 02</v>
      </c>
    </row>
    <row r="4" customFormat="false" ht="17.25" hidden="false" customHeight="true" outlineLevel="0" collapsed="false">
      <c r="A4" s="60"/>
      <c r="B4" s="183"/>
      <c r="C4" s="183"/>
      <c r="D4" s="184"/>
      <c r="E4" s="184"/>
      <c r="F4" s="184"/>
      <c r="G4" s="133"/>
      <c r="H4" s="133"/>
    </row>
    <row r="5" s="87" customFormat="true" ht="15" hidden="false" customHeight="true" outlineLevel="0" collapsed="false">
      <c r="B5" s="134" t="s">
        <v>404</v>
      </c>
      <c r="C5" s="134"/>
      <c r="D5" s="134"/>
      <c r="E5" s="134"/>
      <c r="F5" s="135"/>
      <c r="G5" s="135"/>
      <c r="H5" s="135"/>
    </row>
    <row r="6" s="64" customFormat="true" ht="15" hidden="false" customHeight="false" outlineLevel="0" collapsed="false">
      <c r="A6" s="58"/>
      <c r="B6" s="137" t="s">
        <v>54</v>
      </c>
      <c r="C6" s="137" t="s">
        <v>405</v>
      </c>
      <c r="D6" s="137" t="s">
        <v>406</v>
      </c>
      <c r="E6" s="137" t="s">
        <v>407</v>
      </c>
      <c r="F6" s="137" t="s">
        <v>408</v>
      </c>
      <c r="G6" s="137" t="s">
        <v>409</v>
      </c>
      <c r="H6" s="137" t="s">
        <v>410</v>
      </c>
      <c r="I6" s="59"/>
    </row>
    <row r="7" s="64" customFormat="true" ht="15" hidden="false" customHeight="false" outlineLevel="0" collapsed="false">
      <c r="A7" s="58"/>
      <c r="B7" s="52" t="n">
        <v>1</v>
      </c>
      <c r="C7" s="176" t="s">
        <v>411</v>
      </c>
      <c r="D7" s="176" t="s">
        <v>412</v>
      </c>
      <c r="E7" s="176" t="s">
        <v>413</v>
      </c>
      <c r="F7" s="176" t="s">
        <v>414</v>
      </c>
      <c r="G7" s="176" t="s">
        <v>17</v>
      </c>
      <c r="H7" s="179"/>
    </row>
    <row r="8" s="64" customFormat="true" ht="12" hidden="false" customHeight="true" outlineLevel="0" collapsed="false">
      <c r="A8" s="58"/>
      <c r="B8" s="52" t="n">
        <v>2</v>
      </c>
      <c r="C8" s="176" t="s">
        <v>415</v>
      </c>
      <c r="D8" s="176" t="s">
        <v>412</v>
      </c>
      <c r="E8" s="176" t="s">
        <v>416</v>
      </c>
      <c r="F8" s="176" t="s">
        <v>414</v>
      </c>
      <c r="G8" s="176" t="s">
        <v>17</v>
      </c>
      <c r="H8" s="179"/>
      <c r="I8" s="59"/>
    </row>
    <row r="9" customFormat="false" ht="15" hidden="false" customHeight="false" outlineLevel="0" collapsed="false">
      <c r="B9" s="52" t="n">
        <v>3</v>
      </c>
      <c r="C9" s="176" t="s">
        <v>417</v>
      </c>
      <c r="D9" s="176" t="s">
        <v>418</v>
      </c>
      <c r="E9" s="176" t="s">
        <v>416</v>
      </c>
      <c r="F9" s="176" t="s">
        <v>414</v>
      </c>
      <c r="G9" s="176" t="s">
        <v>17</v>
      </c>
      <c r="H9" s="179"/>
    </row>
    <row r="10" customFormat="false" ht="15" hidden="false" customHeight="false" outlineLevel="0" collapsed="false">
      <c r="B10" s="52" t="n">
        <v>4</v>
      </c>
      <c r="C10" s="176" t="s">
        <v>419</v>
      </c>
      <c r="D10" s="176" t="s">
        <v>418</v>
      </c>
      <c r="E10" s="176" t="s">
        <v>420</v>
      </c>
      <c r="F10" s="176" t="s">
        <v>414</v>
      </c>
      <c r="G10" s="176" t="s">
        <v>421</v>
      </c>
      <c r="H10" s="179"/>
    </row>
    <row r="11" customFormat="false" ht="15" hidden="false" customHeight="false" outlineLevel="0" collapsed="false">
      <c r="B11" s="52" t="n">
        <v>5</v>
      </c>
      <c r="C11" s="176" t="s">
        <v>422</v>
      </c>
      <c r="D11" s="176" t="s">
        <v>412</v>
      </c>
      <c r="E11" s="176" t="s">
        <v>423</v>
      </c>
      <c r="F11" s="176" t="s">
        <v>414</v>
      </c>
      <c r="G11" s="176" t="s">
        <v>17</v>
      </c>
      <c r="H11" s="179"/>
    </row>
    <row r="12" customFormat="false" ht="15" hidden="false" customHeight="false" outlineLevel="0" collapsed="false">
      <c r="B12" s="52" t="n">
        <v>6</v>
      </c>
      <c r="C12" s="176" t="s">
        <v>424</v>
      </c>
      <c r="D12" s="176" t="s">
        <v>412</v>
      </c>
      <c r="E12" s="176" t="s">
        <v>425</v>
      </c>
      <c r="F12" s="176" t="s">
        <v>414</v>
      </c>
      <c r="G12" s="176" t="s">
        <v>17</v>
      </c>
      <c r="H12" s="179"/>
    </row>
    <row r="13" customFormat="false" ht="15" hidden="false" customHeight="false" outlineLevel="0" collapsed="false">
      <c r="B13" s="52" t="n">
        <v>7</v>
      </c>
      <c r="C13" s="176" t="s">
        <v>426</v>
      </c>
      <c r="D13" s="176" t="s">
        <v>412</v>
      </c>
      <c r="E13" s="176" t="s">
        <v>425</v>
      </c>
      <c r="F13" s="176" t="s">
        <v>414</v>
      </c>
      <c r="G13" s="176" t="s">
        <v>17</v>
      </c>
      <c r="H13" s="179"/>
    </row>
    <row r="14" customFormat="false" ht="15" hidden="false" customHeight="false" outlineLevel="0" collapsed="false">
      <c r="B14" s="52" t="n">
        <v>8</v>
      </c>
      <c r="C14" s="176"/>
      <c r="D14" s="176"/>
      <c r="E14" s="176"/>
      <c r="F14" s="185"/>
      <c r="G14" s="185"/>
      <c r="H14" s="179"/>
    </row>
    <row r="15" customFormat="false" ht="15" hidden="false" customHeight="false" outlineLevel="0" collapsed="false">
      <c r="B15" s="52" t="n">
        <v>9</v>
      </c>
      <c r="C15" s="176"/>
      <c r="D15" s="176"/>
      <c r="E15" s="176"/>
      <c r="F15" s="185"/>
      <c r="G15" s="185"/>
      <c r="H15" s="179"/>
    </row>
    <row r="16" customFormat="false" ht="15" hidden="false" customHeight="false" outlineLevel="0" collapsed="false">
      <c r="B16" s="52" t="n">
        <v>10</v>
      </c>
      <c r="C16" s="176"/>
      <c r="D16" s="176"/>
      <c r="E16" s="176"/>
      <c r="F16" s="185"/>
      <c r="G16" s="185"/>
      <c r="H16" s="179"/>
    </row>
    <row r="17" customFormat="false" ht="15" hidden="false" customHeight="false" outlineLevel="0" collapsed="false">
      <c r="B17" s="166"/>
      <c r="C17" s="167"/>
      <c r="D17" s="167"/>
      <c r="E17" s="167"/>
      <c r="F17" s="169"/>
      <c r="G17" s="169"/>
      <c r="H17" s="186"/>
    </row>
    <row r="18" customFormat="false" ht="15" hidden="false" customHeight="false" outlineLevel="0" collapsed="false">
      <c r="B18" s="134" t="s">
        <v>427</v>
      </c>
      <c r="C18" s="168"/>
      <c r="D18" s="168"/>
      <c r="E18" s="168"/>
      <c r="F18" s="168"/>
      <c r="G18" s="168"/>
      <c r="H18" s="168"/>
    </row>
    <row r="19" customFormat="false" ht="15" hidden="false" customHeight="false" outlineLevel="0" collapsed="false">
      <c r="B19" s="137" t="s">
        <v>54</v>
      </c>
      <c r="C19" s="137" t="s">
        <v>428</v>
      </c>
      <c r="D19" s="137" t="s">
        <v>406</v>
      </c>
      <c r="E19" s="137" t="s">
        <v>407</v>
      </c>
      <c r="F19" s="137" t="s">
        <v>408</v>
      </c>
      <c r="G19" s="137" t="s">
        <v>409</v>
      </c>
      <c r="H19" s="137" t="s">
        <v>410</v>
      </c>
    </row>
    <row r="20" customFormat="false" ht="15" hidden="false" customHeight="false" outlineLevel="0" collapsed="false">
      <c r="B20" s="52" t="n">
        <v>1</v>
      </c>
      <c r="C20" s="176" t="s">
        <v>429</v>
      </c>
      <c r="D20" s="176" t="s">
        <v>430</v>
      </c>
      <c r="E20" s="176" t="s">
        <v>431</v>
      </c>
      <c r="F20" s="176" t="s">
        <v>414</v>
      </c>
      <c r="G20" s="176" t="s">
        <v>17</v>
      </c>
      <c r="H20" s="176"/>
    </row>
    <row r="21" customFormat="false" ht="15" hidden="false" customHeight="false" outlineLevel="0" collapsed="false">
      <c r="B21" s="52" t="n">
        <v>2</v>
      </c>
      <c r="C21" s="176" t="s">
        <v>432</v>
      </c>
      <c r="D21" s="176" t="s">
        <v>430</v>
      </c>
      <c r="E21" s="176" t="s">
        <v>433</v>
      </c>
      <c r="F21" s="176" t="s">
        <v>414</v>
      </c>
      <c r="G21" s="176" t="s">
        <v>17</v>
      </c>
      <c r="H21" s="176"/>
    </row>
    <row r="22" customFormat="false" ht="15" hidden="false" customHeight="false" outlineLevel="0" collapsed="false">
      <c r="B22" s="52" t="n">
        <v>3</v>
      </c>
      <c r="C22" s="176" t="s">
        <v>434</v>
      </c>
      <c r="D22" s="176"/>
      <c r="E22" s="176" t="s">
        <v>420</v>
      </c>
      <c r="F22" s="176" t="s">
        <v>414</v>
      </c>
      <c r="G22" s="176" t="s">
        <v>421</v>
      </c>
      <c r="H22" s="176"/>
    </row>
    <row r="23" customFormat="false" ht="15" hidden="false" customHeight="false" outlineLevel="0" collapsed="false">
      <c r="B23" s="52" t="n">
        <v>4</v>
      </c>
      <c r="C23" s="176" t="s">
        <v>435</v>
      </c>
      <c r="D23" s="176" t="s">
        <v>436</v>
      </c>
      <c r="E23" s="176" t="s">
        <v>420</v>
      </c>
      <c r="F23" s="176" t="s">
        <v>414</v>
      </c>
      <c r="G23" s="176" t="s">
        <v>421</v>
      </c>
      <c r="H23" s="176"/>
    </row>
    <row r="24" customFormat="false" ht="15" hidden="false" customHeight="false" outlineLevel="0" collapsed="false">
      <c r="B24" s="52" t="n">
        <v>5</v>
      </c>
      <c r="C24" s="176"/>
      <c r="D24" s="176"/>
      <c r="E24" s="176"/>
      <c r="F24" s="176"/>
      <c r="G24" s="176"/>
      <c r="H24" s="176"/>
    </row>
    <row r="25" customFormat="false" ht="15" hidden="false" customHeight="false" outlineLevel="0" collapsed="false">
      <c r="B25" s="52" t="n">
        <v>6</v>
      </c>
      <c r="C25" s="176"/>
      <c r="D25" s="176"/>
      <c r="E25" s="176"/>
      <c r="F25" s="176"/>
      <c r="G25" s="176"/>
      <c r="H25" s="176"/>
    </row>
    <row r="26" customFormat="false" ht="15" hidden="false" customHeight="false" outlineLevel="0" collapsed="false">
      <c r="B26" s="52" t="n">
        <v>7</v>
      </c>
      <c r="C26" s="176"/>
      <c r="D26" s="176"/>
      <c r="E26" s="176"/>
      <c r="F26" s="176"/>
      <c r="G26" s="176"/>
      <c r="H26" s="176"/>
    </row>
    <row r="27" customFormat="false" ht="15" hidden="false" customHeight="false" outlineLevel="0" collapsed="false">
      <c r="B27" s="52" t="n">
        <v>8</v>
      </c>
      <c r="C27" s="176"/>
      <c r="D27" s="176"/>
      <c r="E27" s="176"/>
      <c r="F27" s="176"/>
      <c r="G27" s="176"/>
      <c r="H27" s="176"/>
    </row>
    <row r="28" customFormat="false" ht="15" hidden="false" customHeight="false" outlineLevel="0" collapsed="false">
      <c r="B28" s="52" t="n">
        <v>9</v>
      </c>
      <c r="C28" s="176"/>
      <c r="D28" s="176"/>
      <c r="E28" s="176"/>
      <c r="F28" s="185"/>
      <c r="G28" s="185"/>
      <c r="H28" s="179"/>
    </row>
    <row r="29" customFormat="false" ht="15" hidden="false" customHeight="false" outlineLevel="0" collapsed="false">
      <c r="B29" s="52" t="n">
        <v>10</v>
      </c>
      <c r="C29" s="176"/>
      <c r="D29" s="176"/>
      <c r="E29" s="176"/>
      <c r="F29" s="185"/>
      <c r="G29" s="185"/>
      <c r="H29" s="179"/>
    </row>
    <row r="30" customFormat="false" ht="15" hidden="false" customHeight="false" outlineLevel="0" collapsed="false">
      <c r="B30" s="168"/>
      <c r="C30" s="168"/>
      <c r="D30" s="168"/>
      <c r="E30" s="168"/>
      <c r="F30" s="168"/>
      <c r="G30" s="168"/>
      <c r="H30" s="168"/>
    </row>
    <row r="31" customFormat="false" ht="15" hidden="false" customHeight="false" outlineLevel="0" collapsed="false">
      <c r="B31" s="134" t="s">
        <v>437</v>
      </c>
      <c r="C31" s="168"/>
      <c r="D31" s="168"/>
      <c r="E31" s="168"/>
      <c r="F31" s="168"/>
      <c r="G31" s="168"/>
      <c r="H31" s="168"/>
    </row>
    <row r="32" customFormat="false" ht="15" hidden="false" customHeight="true" outlineLevel="0" collapsed="false">
      <c r="B32" s="137" t="s">
        <v>54</v>
      </c>
      <c r="C32" s="137" t="s">
        <v>438</v>
      </c>
      <c r="D32" s="137" t="s">
        <v>105</v>
      </c>
      <c r="E32" s="137" t="s">
        <v>57</v>
      </c>
      <c r="F32" s="137"/>
      <c r="G32" s="137" t="s">
        <v>42</v>
      </c>
      <c r="H32" s="137" t="s">
        <v>439</v>
      </c>
    </row>
    <row r="33" customFormat="false" ht="15" hidden="false" customHeight="false" outlineLevel="0" collapsed="false">
      <c r="B33" s="52" t="n">
        <v>1</v>
      </c>
      <c r="C33" s="176"/>
      <c r="D33" s="187" t="s">
        <v>169</v>
      </c>
      <c r="E33" s="178"/>
      <c r="F33" s="178"/>
      <c r="G33" s="176"/>
      <c r="H33" s="176"/>
    </row>
    <row r="34" customFormat="false" ht="15" hidden="false" customHeight="false" outlineLevel="0" collapsed="false">
      <c r="B34" s="52" t="n">
        <v>2</v>
      </c>
      <c r="C34" s="176"/>
      <c r="D34" s="187" t="s">
        <v>169</v>
      </c>
      <c r="E34" s="178"/>
      <c r="F34" s="178"/>
      <c r="G34" s="176"/>
      <c r="H34" s="176"/>
    </row>
    <row r="35" customFormat="false" ht="15" hidden="false" customHeight="false" outlineLevel="0" collapsed="false">
      <c r="B35" s="52" t="n">
        <v>3</v>
      </c>
      <c r="C35" s="176"/>
      <c r="D35" s="187" t="s">
        <v>169</v>
      </c>
      <c r="E35" s="178"/>
      <c r="F35" s="178"/>
      <c r="G35" s="176"/>
      <c r="H35" s="176"/>
    </row>
    <row r="36" customFormat="false" ht="15" hidden="false" customHeight="false" outlineLevel="0" collapsed="false">
      <c r="B36" s="52" t="n">
        <v>4</v>
      </c>
      <c r="C36" s="176"/>
      <c r="D36" s="187" t="s">
        <v>169</v>
      </c>
      <c r="E36" s="178"/>
      <c r="F36" s="178"/>
      <c r="G36" s="176"/>
      <c r="H36" s="176"/>
    </row>
    <row r="37" customFormat="false" ht="15" hidden="false" customHeight="false" outlineLevel="0" collapsed="false">
      <c r="B37" s="52" t="n">
        <v>5</v>
      </c>
      <c r="C37" s="176"/>
      <c r="D37" s="187" t="s">
        <v>169</v>
      </c>
      <c r="E37" s="178"/>
      <c r="F37" s="178"/>
      <c r="G37" s="176"/>
      <c r="H37" s="176"/>
    </row>
    <row r="38" customFormat="false" ht="15" hidden="false" customHeight="false" outlineLevel="0" collapsed="false">
      <c r="B38" s="168"/>
      <c r="C38" s="168"/>
      <c r="D38" s="168"/>
      <c r="E38" s="168"/>
      <c r="F38" s="168"/>
      <c r="G38" s="168"/>
      <c r="H38" s="168"/>
    </row>
    <row r="39" customFormat="false" ht="15" hidden="false" customHeight="false" outlineLevel="0" collapsed="false">
      <c r="B39" s="134" t="s">
        <v>440</v>
      </c>
      <c r="C39" s="168"/>
      <c r="D39" s="168"/>
      <c r="E39" s="168"/>
      <c r="F39" s="168"/>
      <c r="G39" s="168"/>
      <c r="H39" s="168"/>
    </row>
    <row r="40" customFormat="false" ht="15" hidden="false" customHeight="true" outlineLevel="0" collapsed="false">
      <c r="B40" s="137" t="s">
        <v>54</v>
      </c>
      <c r="C40" s="137" t="s">
        <v>438</v>
      </c>
      <c r="D40" s="137" t="s">
        <v>105</v>
      </c>
      <c r="E40" s="137" t="s">
        <v>57</v>
      </c>
      <c r="F40" s="137"/>
      <c r="G40" s="137" t="s">
        <v>42</v>
      </c>
      <c r="H40" s="137" t="s">
        <v>439</v>
      </c>
    </row>
    <row r="41" customFormat="false" ht="15" hidden="false" customHeight="false" outlineLevel="0" collapsed="false">
      <c r="B41" s="52" t="n">
        <v>1</v>
      </c>
      <c r="C41" s="176"/>
      <c r="D41" s="187" t="s">
        <v>169</v>
      </c>
      <c r="E41" s="178"/>
      <c r="F41" s="178"/>
      <c r="G41" s="176"/>
      <c r="H41" s="176"/>
    </row>
    <row r="42" customFormat="false" ht="15" hidden="false" customHeight="false" outlineLevel="0" collapsed="false">
      <c r="B42" s="52" t="n">
        <v>2</v>
      </c>
      <c r="C42" s="176"/>
      <c r="D42" s="187" t="s">
        <v>169</v>
      </c>
      <c r="E42" s="178"/>
      <c r="F42" s="178"/>
      <c r="G42" s="176"/>
      <c r="H42" s="176"/>
    </row>
    <row r="43" customFormat="false" ht="15" hidden="false" customHeight="false" outlineLevel="0" collapsed="false">
      <c r="B43" s="52" t="n">
        <v>3</v>
      </c>
      <c r="C43" s="176"/>
      <c r="D43" s="187" t="s">
        <v>169</v>
      </c>
      <c r="E43" s="178"/>
      <c r="F43" s="178"/>
      <c r="G43" s="176"/>
      <c r="H43" s="176"/>
    </row>
    <row r="44" customFormat="false" ht="15" hidden="false" customHeight="false" outlineLevel="0" collapsed="false">
      <c r="B44" s="52" t="n">
        <v>4</v>
      </c>
      <c r="C44" s="176"/>
      <c r="D44" s="187" t="s">
        <v>169</v>
      </c>
      <c r="E44" s="178"/>
      <c r="F44" s="178"/>
      <c r="G44" s="176"/>
      <c r="H44" s="176"/>
    </row>
    <row r="45" customFormat="false" ht="15" hidden="false" customHeight="false" outlineLevel="0" collapsed="false">
      <c r="B45" s="52" t="n">
        <v>5</v>
      </c>
      <c r="C45" s="176"/>
      <c r="D45" s="187" t="s">
        <v>169</v>
      </c>
      <c r="E45" s="178"/>
      <c r="F45" s="178"/>
      <c r="G45" s="176"/>
      <c r="H45" s="176"/>
    </row>
  </sheetData>
  <mergeCells count="14">
    <mergeCell ref="B1:C3"/>
    <mergeCell ref="D1:G3"/>
    <mergeCell ref="E32:F32"/>
    <mergeCell ref="E33:F33"/>
    <mergeCell ref="E34:F34"/>
    <mergeCell ref="E35:F35"/>
    <mergeCell ref="E36:F36"/>
    <mergeCell ref="E37:F37"/>
    <mergeCell ref="E40:F40"/>
    <mergeCell ref="E41:F41"/>
    <mergeCell ref="E42:F42"/>
    <mergeCell ref="E43:F43"/>
    <mergeCell ref="E44:F44"/>
    <mergeCell ref="E45:F45"/>
  </mergeCells>
  <dataValidations count="1">
    <dataValidation allowBlank="true" errorStyle="stop" operator="between" showDropDown="false" showErrorMessage="true" showInputMessage="true" sqref="D33:D37 D41:D45" type="list">
      <formula1>Master!$F$4:$F$20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8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E9" activeCellId="1" sqref="H75:H78 E9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88" width="2.16"/>
    <col collapsed="false" customWidth="true" hidden="false" outlineLevel="0" max="2" min="2" style="188" width="5.86"/>
    <col collapsed="false" customWidth="true" hidden="false" outlineLevel="0" max="3" min="3" style="188" width="20.71"/>
    <col collapsed="false" customWidth="true" hidden="false" outlineLevel="0" max="4" min="4" style="188" width="31.86"/>
    <col collapsed="false" customWidth="true" hidden="false" outlineLevel="0" max="5" min="5" style="188" width="51.29"/>
    <col collapsed="false" customWidth="true" hidden="false" outlineLevel="0" max="8" min="6" style="188" width="13.42"/>
    <col collapsed="false" customWidth="true" hidden="false" outlineLevel="0" max="9" min="9" style="188" width="65.15"/>
    <col collapsed="false" customWidth="true" hidden="false" outlineLevel="0" max="11" min="10" style="188" width="48.71"/>
    <col collapsed="false" customWidth="true" hidden="false" outlineLevel="0" max="16" min="12" style="188" width="13.15"/>
    <col collapsed="false" customWidth="false" hidden="false" outlineLevel="0" max="16384" min="17" style="188" width="9"/>
  </cols>
  <sheetData>
    <row r="1" customFormat="false" ht="21" hidden="false" customHeight="true" outlineLevel="0" collapsed="false">
      <c r="A1" s="189" t="s">
        <v>37</v>
      </c>
      <c r="B1" s="190"/>
      <c r="C1" s="190"/>
      <c r="D1" s="191" t="s">
        <v>441</v>
      </c>
      <c r="E1" s="191"/>
      <c r="F1" s="191"/>
      <c r="G1" s="191"/>
      <c r="H1" s="192" t="str">
        <f aca="false">'0. Tasklist'!$G$1</f>
        <v>Mã số: BM03-QT-OP-01</v>
      </c>
      <c r="I1" s="192"/>
      <c r="J1" s="193"/>
      <c r="K1" s="193"/>
    </row>
    <row r="2" customFormat="false" ht="21" hidden="false" customHeight="true" outlineLevel="0" collapsed="false">
      <c r="A2" s="189"/>
      <c r="B2" s="190"/>
      <c r="C2" s="190"/>
      <c r="D2" s="191"/>
      <c r="E2" s="191"/>
      <c r="F2" s="191"/>
      <c r="G2" s="191"/>
      <c r="H2" s="192" t="str">
        <f aca="false">'0. Tasklist'!$G$2</f>
        <v>Ngày hiệu lực: 10/09/2025</v>
      </c>
      <c r="I2" s="192"/>
      <c r="J2" s="193"/>
      <c r="K2" s="193"/>
    </row>
    <row r="3" customFormat="false" ht="21" hidden="false" customHeight="true" outlineLevel="0" collapsed="false">
      <c r="A3" s="189"/>
      <c r="B3" s="190"/>
      <c r="C3" s="190"/>
      <c r="D3" s="191"/>
      <c r="E3" s="191"/>
      <c r="F3" s="191"/>
      <c r="G3" s="191"/>
      <c r="H3" s="192" t="str">
        <f aca="false">'0. Tasklist'!$G$3</f>
        <v>Lần ban hành: 02</v>
      </c>
      <c r="I3" s="192"/>
      <c r="J3" s="193"/>
      <c r="K3" s="193"/>
    </row>
    <row r="4" customFormat="false" ht="19.5" hidden="false" customHeight="true" outlineLevel="0" collapsed="false">
      <c r="D4" s="194"/>
      <c r="E4" s="194"/>
      <c r="F4" s="194"/>
      <c r="G4" s="194"/>
      <c r="H4" s="194"/>
      <c r="I4" s="194"/>
      <c r="J4" s="195"/>
      <c r="K4" s="195"/>
    </row>
    <row r="5" customFormat="false" ht="19.5" hidden="false" customHeight="true" outlineLevel="0" collapsed="false">
      <c r="B5" s="188" t="s">
        <v>442</v>
      </c>
      <c r="G5" s="196"/>
    </row>
    <row r="6" customFormat="false" ht="19.5" hidden="false" customHeight="true" outlineLevel="0" collapsed="false">
      <c r="B6" s="197"/>
      <c r="C6" s="198"/>
      <c r="D6" s="198"/>
      <c r="E6" s="198"/>
      <c r="F6" s="198" t="s">
        <v>443</v>
      </c>
      <c r="G6" s="198"/>
      <c r="H6" s="198"/>
      <c r="I6" s="198"/>
      <c r="J6" s="198"/>
      <c r="K6" s="198"/>
      <c r="L6" s="199" t="s">
        <v>444</v>
      </c>
      <c r="M6" s="197"/>
      <c r="N6" s="197"/>
      <c r="O6" s="197"/>
      <c r="P6" s="200"/>
    </row>
    <row r="7" customFormat="false" ht="27" hidden="false" customHeight="true" outlineLevel="0" collapsed="false">
      <c r="B7" s="198" t="s">
        <v>54</v>
      </c>
      <c r="C7" s="198" t="s">
        <v>445</v>
      </c>
      <c r="D7" s="198" t="s">
        <v>446</v>
      </c>
      <c r="E7" s="198" t="s">
        <v>447</v>
      </c>
      <c r="F7" s="198" t="s">
        <v>448</v>
      </c>
      <c r="G7" s="198" t="s">
        <v>449</v>
      </c>
      <c r="H7" s="198" t="s">
        <v>450</v>
      </c>
      <c r="I7" s="198" t="s">
        <v>451</v>
      </c>
      <c r="J7" s="198" t="s">
        <v>452</v>
      </c>
      <c r="K7" s="198" t="s">
        <v>453</v>
      </c>
      <c r="L7" s="201" t="s">
        <v>89</v>
      </c>
      <c r="M7" s="202" t="s">
        <v>89</v>
      </c>
      <c r="N7" s="202" t="s">
        <v>89</v>
      </c>
      <c r="O7" s="202" t="s">
        <v>89</v>
      </c>
      <c r="P7" s="202" t="s">
        <v>89</v>
      </c>
    </row>
    <row r="8" customFormat="false" ht="53.25" hidden="false" customHeight="true" outlineLevel="0" collapsed="false">
      <c r="B8" s="203" t="n">
        <v>1</v>
      </c>
      <c r="C8" s="204" t="s">
        <v>454</v>
      </c>
      <c r="D8" s="205" t="s">
        <v>455</v>
      </c>
      <c r="E8" s="205" t="s">
        <v>456</v>
      </c>
      <c r="F8" s="206" t="n">
        <v>80</v>
      </c>
      <c r="G8" s="206" t="n">
        <v>90</v>
      </c>
      <c r="H8" s="206" t="n">
        <v>100</v>
      </c>
      <c r="I8" s="207" t="s">
        <v>457</v>
      </c>
      <c r="J8" s="207" t="s">
        <v>458</v>
      </c>
      <c r="K8" s="207" t="s">
        <v>459</v>
      </c>
      <c r="L8" s="208"/>
      <c r="M8" s="209"/>
      <c r="N8" s="209"/>
      <c r="O8" s="209"/>
      <c r="P8" s="209"/>
    </row>
    <row r="9" customFormat="false" ht="46.5" hidden="false" customHeight="true" outlineLevel="0" collapsed="false">
      <c r="B9" s="203" t="n">
        <v>2</v>
      </c>
      <c r="C9" s="204"/>
      <c r="D9" s="205" t="s">
        <v>460</v>
      </c>
      <c r="E9" s="205" t="s">
        <v>461</v>
      </c>
      <c r="F9" s="206" t="n">
        <v>0.06</v>
      </c>
      <c r="G9" s="206" t="n">
        <v>0.13</v>
      </c>
      <c r="H9" s="206" t="n">
        <v>0.2</v>
      </c>
      <c r="I9" s="207" t="s">
        <v>462</v>
      </c>
      <c r="J9" s="207" t="s">
        <v>463</v>
      </c>
      <c r="K9" s="207" t="s">
        <v>464</v>
      </c>
      <c r="L9" s="208"/>
      <c r="M9" s="209"/>
      <c r="N9" s="209"/>
      <c r="O9" s="209"/>
      <c r="P9" s="209"/>
    </row>
    <row r="10" customFormat="false" ht="65.25" hidden="false" customHeight="true" outlineLevel="0" collapsed="false">
      <c r="B10" s="203" t="n">
        <v>3</v>
      </c>
      <c r="C10" s="204"/>
      <c r="D10" s="205" t="s">
        <v>465</v>
      </c>
      <c r="E10" s="205" t="s">
        <v>461</v>
      </c>
      <c r="F10" s="210" t="n">
        <v>12</v>
      </c>
      <c r="G10" s="210" t="n">
        <v>17</v>
      </c>
      <c r="H10" s="210" t="n">
        <v>23</v>
      </c>
      <c r="I10" s="207" t="s">
        <v>466</v>
      </c>
      <c r="J10" s="207" t="s">
        <v>467</v>
      </c>
      <c r="K10" s="207" t="s">
        <v>468</v>
      </c>
      <c r="L10" s="208"/>
      <c r="M10" s="209"/>
      <c r="N10" s="209"/>
      <c r="O10" s="209"/>
      <c r="P10" s="209"/>
    </row>
    <row r="11" customFormat="false" ht="70.5" hidden="false" customHeight="true" outlineLevel="0" collapsed="false">
      <c r="B11" s="203" t="n">
        <v>4</v>
      </c>
      <c r="C11" s="204"/>
      <c r="D11" s="205" t="s">
        <v>469</v>
      </c>
      <c r="E11" s="205" t="s">
        <v>461</v>
      </c>
      <c r="F11" s="210" t="n">
        <v>3</v>
      </c>
      <c r="G11" s="210" t="n">
        <v>6.5</v>
      </c>
      <c r="H11" s="210" t="n">
        <v>9.7</v>
      </c>
      <c r="I11" s="207" t="s">
        <v>466</v>
      </c>
      <c r="J11" s="207" t="s">
        <v>470</v>
      </c>
      <c r="K11" s="207" t="s">
        <v>468</v>
      </c>
      <c r="L11" s="208"/>
      <c r="M11" s="209"/>
      <c r="N11" s="209"/>
      <c r="O11" s="209"/>
      <c r="P11" s="209"/>
    </row>
    <row r="12" customFormat="false" ht="48.75" hidden="false" customHeight="true" outlineLevel="0" collapsed="false">
      <c r="B12" s="203" t="n">
        <v>5</v>
      </c>
      <c r="C12" s="205" t="s">
        <v>471</v>
      </c>
      <c r="D12" s="205" t="s">
        <v>472</v>
      </c>
      <c r="E12" s="205" t="s">
        <v>473</v>
      </c>
      <c r="F12" s="206" t="n">
        <v>80</v>
      </c>
      <c r="G12" s="206" t="n">
        <v>95</v>
      </c>
      <c r="H12" s="206" t="n">
        <v>110</v>
      </c>
      <c r="I12" s="207" t="s">
        <v>474</v>
      </c>
      <c r="J12" s="207" t="s">
        <v>475</v>
      </c>
      <c r="K12" s="207" t="s">
        <v>476</v>
      </c>
      <c r="L12" s="208"/>
      <c r="M12" s="209"/>
      <c r="N12" s="209"/>
      <c r="O12" s="209"/>
      <c r="P12" s="209"/>
    </row>
    <row r="13" customFormat="false" ht="48.75" hidden="false" customHeight="true" outlineLevel="0" collapsed="false">
      <c r="B13" s="203" t="n">
        <v>6</v>
      </c>
      <c r="C13" s="205" t="s">
        <v>477</v>
      </c>
      <c r="D13" s="205" t="s">
        <v>478</v>
      </c>
      <c r="E13" s="205" t="s">
        <v>473</v>
      </c>
      <c r="F13" s="206" t="n">
        <v>80</v>
      </c>
      <c r="G13" s="206" t="n">
        <v>90</v>
      </c>
      <c r="H13" s="206" t="n">
        <v>100</v>
      </c>
      <c r="I13" s="207" t="s">
        <v>479</v>
      </c>
      <c r="J13" s="207" t="s">
        <v>480</v>
      </c>
      <c r="K13" s="207" t="s">
        <v>476</v>
      </c>
      <c r="L13" s="208"/>
      <c r="M13" s="209"/>
      <c r="N13" s="209"/>
      <c r="O13" s="209"/>
      <c r="P13" s="209"/>
    </row>
    <row r="14" customFormat="false" ht="48.75" hidden="false" customHeight="true" outlineLevel="0" collapsed="false">
      <c r="B14" s="203" t="n">
        <v>7</v>
      </c>
      <c r="C14" s="205" t="s">
        <v>481</v>
      </c>
      <c r="D14" s="205" t="s">
        <v>482</v>
      </c>
      <c r="E14" s="205" t="s">
        <v>473</v>
      </c>
      <c r="F14" s="206" t="n">
        <v>80</v>
      </c>
      <c r="G14" s="206" t="n">
        <v>90</v>
      </c>
      <c r="H14" s="206" t="n">
        <v>100</v>
      </c>
      <c r="I14" s="207" t="s">
        <v>483</v>
      </c>
      <c r="J14" s="207" t="s">
        <v>484</v>
      </c>
      <c r="K14" s="207" t="s">
        <v>485</v>
      </c>
      <c r="L14" s="208"/>
      <c r="M14" s="209"/>
      <c r="N14" s="209"/>
      <c r="O14" s="209"/>
      <c r="P14" s="209"/>
    </row>
    <row r="15" customFormat="false" ht="19.5" hidden="false" customHeight="true" outlineLevel="0" collapsed="false">
      <c r="D15" s="195"/>
      <c r="E15" s="195"/>
      <c r="F15" s="195"/>
      <c r="G15" s="195"/>
      <c r="H15" s="195"/>
      <c r="I15" s="195"/>
      <c r="J15" s="195"/>
      <c r="K15" s="195"/>
    </row>
    <row r="16" customFormat="false" ht="15" hidden="false" customHeight="true" outlineLevel="0" collapsed="false">
      <c r="B16" s="211" t="s">
        <v>486</v>
      </c>
      <c r="G16" s="212"/>
      <c r="H16" s="212"/>
      <c r="I16" s="212"/>
      <c r="J16" s="212"/>
      <c r="K16" s="212"/>
    </row>
    <row r="17" customFormat="false" ht="15" hidden="false" customHeight="true" outlineLevel="0" collapsed="false">
      <c r="B17" s="213"/>
      <c r="C17" s="213"/>
      <c r="D17" s="213"/>
      <c r="E17" s="213"/>
      <c r="F17" s="213" t="s">
        <v>487</v>
      </c>
      <c r="G17" s="213"/>
      <c r="H17" s="213"/>
      <c r="I17" s="213"/>
      <c r="J17" s="214"/>
      <c r="K17" s="214"/>
      <c r="L17" s="199" t="s">
        <v>444</v>
      </c>
      <c r="M17" s="197"/>
      <c r="N17" s="197"/>
      <c r="O17" s="197"/>
      <c r="P17" s="200"/>
    </row>
    <row r="18" customFormat="false" ht="15.65" hidden="false" customHeight="false" outlineLevel="0" collapsed="false">
      <c r="B18" s="213" t="s">
        <v>54</v>
      </c>
      <c r="C18" s="213" t="s">
        <v>105</v>
      </c>
      <c r="D18" s="213" t="s">
        <v>446</v>
      </c>
      <c r="E18" s="213" t="s">
        <v>488</v>
      </c>
      <c r="F18" s="213" t="s">
        <v>489</v>
      </c>
      <c r="G18" s="213" t="s">
        <v>490</v>
      </c>
      <c r="H18" s="213" t="s">
        <v>491</v>
      </c>
      <c r="I18" s="198" t="s">
        <v>451</v>
      </c>
      <c r="J18" s="198" t="s">
        <v>452</v>
      </c>
      <c r="K18" s="198" t="s">
        <v>453</v>
      </c>
      <c r="L18" s="202" t="s">
        <v>89</v>
      </c>
      <c r="M18" s="202" t="s">
        <v>89</v>
      </c>
      <c r="N18" s="202" t="s">
        <v>89</v>
      </c>
      <c r="O18" s="202" t="s">
        <v>89</v>
      </c>
      <c r="P18" s="202" t="s">
        <v>89</v>
      </c>
    </row>
    <row r="19" customFormat="false" ht="102.75" hidden="false" customHeight="true" outlineLevel="0" collapsed="false">
      <c r="B19" s="203" t="n">
        <v>1</v>
      </c>
      <c r="C19" s="215" t="s">
        <v>112</v>
      </c>
      <c r="D19" s="215" t="s">
        <v>492</v>
      </c>
      <c r="E19" s="215" t="s">
        <v>493</v>
      </c>
      <c r="F19" s="216" t="n">
        <v>2</v>
      </c>
      <c r="G19" s="216" t="n">
        <v>3</v>
      </c>
      <c r="H19" s="216" t="n">
        <v>5</v>
      </c>
      <c r="I19" s="207" t="s">
        <v>494</v>
      </c>
      <c r="J19" s="207" t="s">
        <v>495</v>
      </c>
      <c r="K19" s="207" t="s">
        <v>468</v>
      </c>
      <c r="L19" s="209"/>
      <c r="M19" s="209"/>
      <c r="N19" s="209"/>
      <c r="O19" s="209"/>
      <c r="P19" s="209"/>
    </row>
    <row r="20" customFormat="false" ht="94.5" hidden="false" customHeight="true" outlineLevel="0" collapsed="false">
      <c r="B20" s="203" t="n">
        <v>2</v>
      </c>
      <c r="C20" s="215" t="s">
        <v>113</v>
      </c>
      <c r="D20" s="215" t="s">
        <v>496</v>
      </c>
      <c r="E20" s="215" t="s">
        <v>493</v>
      </c>
      <c r="F20" s="216" t="n">
        <v>3</v>
      </c>
      <c r="G20" s="216" t="n">
        <v>5</v>
      </c>
      <c r="H20" s="216" t="n">
        <v>7</v>
      </c>
      <c r="I20" s="207" t="s">
        <v>497</v>
      </c>
      <c r="J20" s="207" t="s">
        <v>498</v>
      </c>
      <c r="K20" s="207" t="s">
        <v>468</v>
      </c>
      <c r="L20" s="209"/>
      <c r="M20" s="209"/>
      <c r="N20" s="209"/>
      <c r="O20" s="209"/>
      <c r="P20" s="209"/>
    </row>
    <row r="21" customFormat="false" ht="94.5" hidden="false" customHeight="true" outlineLevel="0" collapsed="false">
      <c r="B21" s="203" t="n">
        <v>3</v>
      </c>
      <c r="C21" s="215" t="s">
        <v>115</v>
      </c>
      <c r="D21" s="215" t="s">
        <v>499</v>
      </c>
      <c r="E21" s="215" t="s">
        <v>500</v>
      </c>
      <c r="F21" s="216" t="n">
        <v>5</v>
      </c>
      <c r="G21" s="216" t="n">
        <v>10</v>
      </c>
      <c r="H21" s="216" t="n">
        <v>15</v>
      </c>
      <c r="I21" s="207" t="s">
        <v>501</v>
      </c>
      <c r="J21" s="207" t="s">
        <v>502</v>
      </c>
      <c r="K21" s="207" t="s">
        <v>468</v>
      </c>
      <c r="L21" s="209"/>
      <c r="M21" s="209"/>
      <c r="N21" s="209"/>
      <c r="O21" s="209"/>
      <c r="P21" s="209"/>
    </row>
    <row r="22" customFormat="false" ht="94.5" hidden="false" customHeight="true" outlineLevel="0" collapsed="false">
      <c r="B22" s="203" t="n">
        <v>4</v>
      </c>
      <c r="C22" s="215" t="s">
        <v>115</v>
      </c>
      <c r="D22" s="215" t="s">
        <v>503</v>
      </c>
      <c r="E22" s="215" t="s">
        <v>504</v>
      </c>
      <c r="F22" s="217" t="n">
        <v>0.8</v>
      </c>
      <c r="G22" s="217" t="n">
        <v>0.9</v>
      </c>
      <c r="H22" s="217" t="n">
        <v>1</v>
      </c>
      <c r="I22" s="207" t="s">
        <v>501</v>
      </c>
      <c r="J22" s="207" t="s">
        <v>505</v>
      </c>
      <c r="K22" s="207" t="s">
        <v>468</v>
      </c>
      <c r="L22" s="209"/>
      <c r="M22" s="209"/>
      <c r="N22" s="209"/>
      <c r="O22" s="209"/>
      <c r="P22" s="209"/>
    </row>
    <row r="23" customFormat="false" ht="94.5" hidden="false" customHeight="true" outlineLevel="0" collapsed="false">
      <c r="B23" s="203" t="n">
        <v>5</v>
      </c>
      <c r="C23" s="215" t="s">
        <v>115</v>
      </c>
      <c r="D23" s="215" t="s">
        <v>506</v>
      </c>
      <c r="E23" s="215" t="s">
        <v>507</v>
      </c>
      <c r="F23" s="216" t="n">
        <v>5</v>
      </c>
      <c r="G23" s="216" t="n">
        <v>7</v>
      </c>
      <c r="H23" s="216" t="n">
        <v>10</v>
      </c>
      <c r="I23" s="207" t="s">
        <v>508</v>
      </c>
      <c r="J23" s="207" t="s">
        <v>509</v>
      </c>
      <c r="K23" s="207" t="s">
        <v>468</v>
      </c>
      <c r="L23" s="209"/>
      <c r="M23" s="209"/>
      <c r="N23" s="209"/>
      <c r="O23" s="209"/>
      <c r="P23" s="209"/>
    </row>
    <row r="24" customFormat="false" ht="94.5" hidden="false" customHeight="true" outlineLevel="0" collapsed="false">
      <c r="B24" s="203" t="n">
        <v>6</v>
      </c>
      <c r="C24" s="215" t="s">
        <v>115</v>
      </c>
      <c r="D24" s="215" t="s">
        <v>510</v>
      </c>
      <c r="E24" s="215" t="s">
        <v>507</v>
      </c>
      <c r="F24" s="216" t="n">
        <v>0.5</v>
      </c>
      <c r="G24" s="216" t="n">
        <v>0.7</v>
      </c>
      <c r="H24" s="216" t="n">
        <v>1</v>
      </c>
      <c r="I24" s="207" t="s">
        <v>511</v>
      </c>
      <c r="J24" s="207" t="s">
        <v>512</v>
      </c>
      <c r="K24" s="207" t="s">
        <v>468</v>
      </c>
      <c r="L24" s="209"/>
      <c r="M24" s="209"/>
      <c r="N24" s="209"/>
      <c r="O24" s="209"/>
      <c r="P24" s="209"/>
    </row>
    <row r="25" customFormat="false" ht="94.5" hidden="false" customHeight="true" outlineLevel="0" collapsed="false">
      <c r="B25" s="203" t="n">
        <v>7</v>
      </c>
      <c r="C25" s="215" t="s">
        <v>115</v>
      </c>
      <c r="D25" s="215" t="s">
        <v>506</v>
      </c>
      <c r="E25" s="215" t="s">
        <v>513</v>
      </c>
      <c r="F25" s="218" t="n">
        <v>15</v>
      </c>
      <c r="G25" s="218" t="n">
        <v>20</v>
      </c>
      <c r="H25" s="218" t="n">
        <v>25</v>
      </c>
      <c r="I25" s="207" t="s">
        <v>508</v>
      </c>
      <c r="J25" s="207" t="s">
        <v>514</v>
      </c>
      <c r="K25" s="207" t="s">
        <v>468</v>
      </c>
      <c r="L25" s="209"/>
      <c r="M25" s="209"/>
      <c r="N25" s="209"/>
      <c r="O25" s="209"/>
      <c r="P25" s="209"/>
    </row>
    <row r="26" customFormat="false" ht="94.5" hidden="false" customHeight="true" outlineLevel="0" collapsed="false">
      <c r="B26" s="203" t="n">
        <v>8</v>
      </c>
      <c r="C26" s="215" t="s">
        <v>115</v>
      </c>
      <c r="D26" s="215" t="s">
        <v>510</v>
      </c>
      <c r="E26" s="215" t="s">
        <v>513</v>
      </c>
      <c r="F26" s="218" t="n">
        <v>3</v>
      </c>
      <c r="G26" s="218" t="n">
        <v>5</v>
      </c>
      <c r="H26" s="218" t="n">
        <v>7</v>
      </c>
      <c r="I26" s="207" t="s">
        <v>511</v>
      </c>
      <c r="J26" s="207" t="s">
        <v>515</v>
      </c>
      <c r="K26" s="207" t="s">
        <v>468</v>
      </c>
      <c r="L26" s="209"/>
      <c r="M26" s="209"/>
      <c r="N26" s="209"/>
      <c r="O26" s="209"/>
      <c r="P26" s="209"/>
    </row>
    <row r="27" customFormat="false" ht="15" hidden="false" customHeight="false" outlineLevel="0" collapsed="false">
      <c r="B27" s="219"/>
      <c r="C27" s="220"/>
      <c r="D27" s="220"/>
      <c r="E27" s="220"/>
      <c r="F27" s="220"/>
      <c r="G27" s="221"/>
      <c r="H27" s="221"/>
      <c r="I27" s="211"/>
      <c r="J27" s="211"/>
      <c r="K27" s="211"/>
    </row>
    <row r="28" customFormat="false" ht="15" hidden="false" customHeight="false" outlineLevel="0" collapsed="false">
      <c r="B28" s="211" t="s">
        <v>516</v>
      </c>
      <c r="C28" s="211"/>
      <c r="D28" s="211"/>
      <c r="E28" s="211"/>
      <c r="F28" s="211"/>
      <c r="G28" s="211"/>
      <c r="H28" s="211"/>
      <c r="I28" s="211"/>
      <c r="J28" s="211"/>
      <c r="K28" s="211"/>
    </row>
    <row r="29" customFormat="false" ht="15.65" hidden="false" customHeight="true" outlineLevel="0" collapsed="false">
      <c r="B29" s="213" t="s">
        <v>54</v>
      </c>
      <c r="C29" s="213" t="s">
        <v>105</v>
      </c>
      <c r="D29" s="213" t="s">
        <v>303</v>
      </c>
      <c r="E29" s="213" t="s">
        <v>517</v>
      </c>
      <c r="F29" s="213" t="s">
        <v>101</v>
      </c>
      <c r="G29" s="213"/>
      <c r="H29" s="213"/>
      <c r="I29" s="213"/>
      <c r="J29" s="222"/>
    </row>
    <row r="30" s="222" customFormat="true" ht="33.75" hidden="false" customHeight="true" outlineLevel="0" collapsed="false">
      <c r="B30" s="203" t="n">
        <v>1</v>
      </c>
      <c r="C30" s="223" t="s">
        <v>114</v>
      </c>
      <c r="D30" s="223" t="s">
        <v>114</v>
      </c>
      <c r="E30" s="223" t="s">
        <v>518</v>
      </c>
      <c r="F30" s="224" t="s">
        <v>519</v>
      </c>
      <c r="G30" s="224"/>
      <c r="H30" s="224"/>
      <c r="I30" s="224"/>
    </row>
    <row r="31" s="222" customFormat="true" ht="44" hidden="false" customHeight="true" outlineLevel="0" collapsed="false">
      <c r="B31" s="203" t="n">
        <v>2</v>
      </c>
      <c r="C31" s="223" t="s">
        <v>114</v>
      </c>
      <c r="D31" s="223" t="s">
        <v>520</v>
      </c>
      <c r="E31" s="223" t="s">
        <v>521</v>
      </c>
      <c r="F31" s="224" t="s">
        <v>522</v>
      </c>
      <c r="G31" s="224"/>
      <c r="H31" s="224"/>
      <c r="I31" s="224"/>
    </row>
    <row r="32" s="222" customFormat="true" ht="58.2" hidden="false" customHeight="true" outlineLevel="0" collapsed="false">
      <c r="B32" s="203" t="n">
        <v>3</v>
      </c>
      <c r="C32" s="223" t="s">
        <v>114</v>
      </c>
      <c r="D32" s="223" t="s">
        <v>520</v>
      </c>
      <c r="E32" s="223" t="s">
        <v>523</v>
      </c>
      <c r="F32" s="224" t="s">
        <v>524</v>
      </c>
      <c r="G32" s="224"/>
      <c r="H32" s="224"/>
      <c r="I32" s="224"/>
    </row>
    <row r="33" s="222" customFormat="true" ht="33" hidden="false" customHeight="true" outlineLevel="0" collapsed="false">
      <c r="B33" s="203" t="n">
        <v>4</v>
      </c>
      <c r="C33" s="223" t="s">
        <v>115</v>
      </c>
      <c r="D33" s="223" t="s">
        <v>525</v>
      </c>
      <c r="E33" s="223" t="s">
        <v>526</v>
      </c>
      <c r="F33" s="224" t="s">
        <v>527</v>
      </c>
      <c r="G33" s="224"/>
      <c r="H33" s="224"/>
      <c r="I33" s="224"/>
    </row>
    <row r="34" s="222" customFormat="true" ht="30.75" hidden="false" customHeight="true" outlineLevel="0" collapsed="false">
      <c r="B34" s="203" t="n">
        <v>5</v>
      </c>
      <c r="C34" s="223" t="s">
        <v>115</v>
      </c>
      <c r="D34" s="223" t="s">
        <v>525</v>
      </c>
      <c r="E34" s="223" t="s">
        <v>528</v>
      </c>
      <c r="F34" s="224" t="s">
        <v>529</v>
      </c>
      <c r="G34" s="224"/>
      <c r="H34" s="224"/>
      <c r="I34" s="224"/>
    </row>
    <row r="35" s="222" customFormat="true" ht="90" hidden="false" customHeight="true" outlineLevel="0" collapsed="false">
      <c r="B35" s="203" t="n">
        <v>6</v>
      </c>
      <c r="C35" s="223" t="s">
        <v>115</v>
      </c>
      <c r="D35" s="223" t="s">
        <v>530</v>
      </c>
      <c r="E35" s="223" t="s">
        <v>531</v>
      </c>
      <c r="F35" s="224" t="s">
        <v>532</v>
      </c>
      <c r="G35" s="224"/>
      <c r="H35" s="224"/>
      <c r="I35" s="224"/>
    </row>
    <row r="36" s="222" customFormat="true" ht="15" hidden="false" customHeight="false" outlineLevel="0" collapsed="false">
      <c r="B36" s="203"/>
      <c r="C36" s="223"/>
      <c r="D36" s="223"/>
      <c r="E36" s="223"/>
      <c r="F36" s="224"/>
      <c r="G36" s="224"/>
      <c r="H36" s="224"/>
      <c r="I36" s="224"/>
    </row>
    <row r="37" customFormat="false" ht="15" hidden="false" customHeight="false" outlineLevel="0" collapsed="false">
      <c r="B37" s="211"/>
      <c r="C37" s="211"/>
      <c r="D37" s="211"/>
      <c r="E37" s="211"/>
      <c r="J37" s="211"/>
      <c r="K37" s="211"/>
      <c r="L37" s="211"/>
      <c r="M37" s="211"/>
      <c r="N37" s="211"/>
    </row>
    <row r="38" customFormat="false" ht="15" hidden="false" customHeight="false" outlineLevel="0" collapsed="false">
      <c r="B38" s="211" t="s">
        <v>533</v>
      </c>
      <c r="C38" s="211"/>
      <c r="D38" s="211"/>
      <c r="E38" s="211"/>
      <c r="J38" s="211"/>
      <c r="K38" s="211"/>
      <c r="L38" s="211"/>
      <c r="M38" s="211"/>
      <c r="N38" s="211"/>
    </row>
    <row r="39" customFormat="false" ht="15" hidden="false" customHeight="false" outlineLevel="0" collapsed="false">
      <c r="B39" s="211" t="s">
        <v>534</v>
      </c>
      <c r="C39" s="211"/>
      <c r="D39" s="211"/>
      <c r="E39" s="211"/>
      <c r="J39" s="211"/>
      <c r="K39" s="211"/>
      <c r="L39" s="211"/>
      <c r="M39" s="211"/>
      <c r="N39" s="211"/>
    </row>
    <row r="40" customFormat="false" ht="15.65" hidden="false" customHeight="true" outlineLevel="0" collapsed="false">
      <c r="B40" s="213" t="s">
        <v>54</v>
      </c>
      <c r="C40" s="213" t="s">
        <v>105</v>
      </c>
      <c r="D40" s="213" t="s">
        <v>303</v>
      </c>
      <c r="E40" s="213" t="s">
        <v>517</v>
      </c>
      <c r="F40" s="213" t="s">
        <v>101</v>
      </c>
      <c r="G40" s="213"/>
      <c r="H40" s="213"/>
      <c r="I40" s="213"/>
      <c r="N40" s="211"/>
    </row>
    <row r="41" customFormat="false" ht="88.5" hidden="false" customHeight="true" outlineLevel="0" collapsed="false">
      <c r="B41" s="203" t="n">
        <v>1</v>
      </c>
      <c r="C41" s="223" t="s">
        <v>114</v>
      </c>
      <c r="D41" s="223" t="s">
        <v>114</v>
      </c>
      <c r="E41" s="223" t="s">
        <v>535</v>
      </c>
      <c r="F41" s="224" t="s">
        <v>536</v>
      </c>
      <c r="G41" s="224"/>
      <c r="H41" s="224"/>
      <c r="I41" s="224"/>
      <c r="N41" s="211"/>
    </row>
    <row r="42" customFormat="false" ht="15" hidden="false" customHeight="false" outlineLevel="0" collapsed="false">
      <c r="B42" s="203"/>
      <c r="C42" s="223"/>
      <c r="D42" s="223"/>
      <c r="E42" s="223"/>
      <c r="F42" s="224"/>
      <c r="G42" s="224"/>
      <c r="H42" s="224"/>
      <c r="I42" s="224"/>
      <c r="N42" s="211"/>
    </row>
    <row r="43" customFormat="false" ht="15.75" hidden="false" customHeight="false" outlineLevel="0" collapsed="false"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N43" s="211"/>
    </row>
    <row r="44" customFormat="false" ht="15.75" hidden="false" customHeight="false" outlineLevel="0" collapsed="false">
      <c r="B44" s="211"/>
      <c r="C44" s="211"/>
      <c r="D44" s="211"/>
      <c r="E44" s="211"/>
      <c r="F44" s="211"/>
      <c r="G44" s="211"/>
      <c r="H44" s="211"/>
      <c r="I44" s="211"/>
      <c r="J44" s="211"/>
      <c r="K44" s="211"/>
    </row>
    <row r="45" customFormat="false" ht="15.75" hidden="false" customHeight="false" outlineLevel="0" collapsed="false">
      <c r="B45" s="211"/>
      <c r="C45" s="211"/>
      <c r="D45" s="211"/>
      <c r="E45" s="211"/>
      <c r="F45" s="211"/>
      <c r="G45" s="211"/>
      <c r="H45" s="211"/>
      <c r="I45" s="211"/>
      <c r="J45" s="211"/>
      <c r="K45" s="211"/>
    </row>
    <row r="46" customFormat="false" ht="15.75" hidden="false" customHeight="false" outlineLevel="0" collapsed="false">
      <c r="B46" s="211"/>
      <c r="C46" s="211"/>
      <c r="D46" s="211"/>
      <c r="E46" s="211"/>
      <c r="F46" s="211"/>
      <c r="G46" s="211"/>
      <c r="H46" s="211"/>
      <c r="I46" s="211"/>
      <c r="J46" s="211"/>
      <c r="K46" s="211"/>
    </row>
    <row r="47" customFormat="false" ht="15.75" hidden="false" customHeight="false" outlineLevel="0" collapsed="false">
      <c r="B47" s="211"/>
      <c r="C47" s="211"/>
      <c r="D47" s="211"/>
      <c r="E47" s="211"/>
      <c r="F47" s="211"/>
      <c r="G47" s="211"/>
      <c r="H47" s="211"/>
      <c r="I47" s="211"/>
      <c r="J47" s="211"/>
      <c r="K47" s="211"/>
    </row>
    <row r="48" customFormat="false" ht="15.75" hidden="false" customHeight="false" outlineLevel="0" collapsed="false">
      <c r="B48" s="211"/>
      <c r="C48" s="211"/>
      <c r="D48" s="211"/>
      <c r="E48" s="211"/>
      <c r="F48" s="211"/>
      <c r="G48" s="211"/>
      <c r="H48" s="211"/>
      <c r="I48" s="211"/>
      <c r="J48" s="211"/>
      <c r="K48" s="211"/>
    </row>
  </sheetData>
  <mergeCells count="20">
    <mergeCell ref="B1:C3"/>
    <mergeCell ref="D1:G3"/>
    <mergeCell ref="H1:I1"/>
    <mergeCell ref="H2:I2"/>
    <mergeCell ref="H3:I3"/>
    <mergeCell ref="D4:I4"/>
    <mergeCell ref="F6:H6"/>
    <mergeCell ref="C8:C11"/>
    <mergeCell ref="F17:H17"/>
    <mergeCell ref="F29:I29"/>
    <mergeCell ref="F30:I30"/>
    <mergeCell ref="F31:I31"/>
    <mergeCell ref="F32:I32"/>
    <mergeCell ref="F33:I33"/>
    <mergeCell ref="F34:I34"/>
    <mergeCell ref="F35:I35"/>
    <mergeCell ref="F36:I36"/>
    <mergeCell ref="F40:I40"/>
    <mergeCell ref="F41:I41"/>
    <mergeCell ref="F42:I42"/>
  </mergeCells>
  <dataValidations count="1">
    <dataValidation allowBlank="true" errorStyle="stop" operator="between" showDropDown="false" showErrorMessage="true" showInputMessage="true" sqref="C19:C26 C30:C36 C41:C42" type="list">
      <formula1>'1. Project Information'!$C$25:$C$33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G23" activeCellId="1" sqref="H75:H78 G23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58" width="2.16"/>
    <col collapsed="false" customWidth="true" hidden="false" outlineLevel="0" max="2" min="2" style="58" width="5.86"/>
    <col collapsed="false" customWidth="true" hidden="false" outlineLevel="0" max="3" min="3" style="58" width="29.71"/>
    <col collapsed="false" customWidth="true" hidden="false" outlineLevel="0" max="4" min="4" style="58" width="31.86"/>
    <col collapsed="false" customWidth="true" hidden="false" outlineLevel="0" max="5" min="5" style="58" width="51.29"/>
    <col collapsed="false" customWidth="true" hidden="false" outlineLevel="0" max="6" min="6" style="58" width="12.86"/>
    <col collapsed="false" customWidth="true" hidden="false" outlineLevel="0" max="8" min="7" style="58" width="13.42"/>
    <col collapsed="false" customWidth="true" hidden="false" outlineLevel="0" max="9" min="9" style="58" width="15.29"/>
    <col collapsed="false" customWidth="true" hidden="false" outlineLevel="0" max="10" min="10" style="58" width="26.42"/>
    <col collapsed="false" customWidth="true" hidden="false" outlineLevel="0" max="11" min="11" style="58" width="8.57"/>
    <col collapsed="false" customWidth="false" hidden="false" outlineLevel="0" max="16384" min="12" style="58" width="9"/>
  </cols>
  <sheetData>
    <row r="1" customFormat="false" ht="17.25" hidden="false" customHeight="true" outlineLevel="0" collapsed="false">
      <c r="A1" s="60" t="s">
        <v>37</v>
      </c>
      <c r="B1" s="61"/>
      <c r="C1" s="61"/>
      <c r="D1" s="62" t="s">
        <v>537</v>
      </c>
      <c r="E1" s="62"/>
      <c r="F1" s="62"/>
      <c r="G1" s="62"/>
      <c r="H1" s="75" t="str">
        <f aca="false">'0. Tasklist'!$G$1</f>
        <v>Mã số: BM03-QT-OP-01</v>
      </c>
      <c r="I1" s="75"/>
    </row>
    <row r="2" customFormat="false" ht="17.25" hidden="false" customHeight="true" outlineLevel="0" collapsed="false">
      <c r="A2" s="60"/>
      <c r="B2" s="61"/>
      <c r="C2" s="61"/>
      <c r="D2" s="62"/>
      <c r="E2" s="62"/>
      <c r="F2" s="62"/>
      <c r="G2" s="62"/>
      <c r="H2" s="75" t="str">
        <f aca="false">'0. Tasklist'!$G$2</f>
        <v>Ngày hiệu lực: 10/09/2025</v>
      </c>
      <c r="I2" s="75"/>
    </row>
    <row r="3" customFormat="false" ht="17.25" hidden="false" customHeight="true" outlineLevel="0" collapsed="false">
      <c r="A3" s="60"/>
      <c r="B3" s="61"/>
      <c r="C3" s="61"/>
      <c r="D3" s="62"/>
      <c r="E3" s="62"/>
      <c r="F3" s="62"/>
      <c r="G3" s="62"/>
      <c r="H3" s="75" t="str">
        <f aca="false">'0. Tasklist'!$G$3</f>
        <v>Lần ban hành: 02</v>
      </c>
      <c r="I3" s="75"/>
    </row>
    <row r="5" customFormat="false" ht="18" hidden="false" customHeight="true" outlineLevel="0" collapsed="false">
      <c r="B5" s="134" t="s">
        <v>538</v>
      </c>
      <c r="C5" s="168"/>
      <c r="D5" s="168"/>
      <c r="E5" s="168"/>
      <c r="F5" s="168"/>
      <c r="G5" s="168"/>
      <c r="H5" s="168"/>
      <c r="I5" s="168"/>
      <c r="J5" s="168"/>
    </row>
    <row r="6" customFormat="false" ht="42" hidden="false" customHeight="true" outlineLevel="0" collapsed="false">
      <c r="B6" s="137" t="s">
        <v>54</v>
      </c>
      <c r="C6" s="137" t="s">
        <v>364</v>
      </c>
      <c r="D6" s="137" t="s">
        <v>101</v>
      </c>
      <c r="E6" s="137"/>
      <c r="F6" s="137" t="s">
        <v>58</v>
      </c>
      <c r="G6" s="137"/>
      <c r="H6" s="137"/>
      <c r="I6" s="137"/>
      <c r="J6" s="168"/>
    </row>
    <row r="7" s="64" customFormat="true" ht="27.75" hidden="false" customHeight="true" outlineLevel="0" collapsed="false">
      <c r="B7" s="52" t="n">
        <v>1</v>
      </c>
      <c r="C7" s="156" t="s">
        <v>539</v>
      </c>
      <c r="D7" s="225" t="s">
        <v>540</v>
      </c>
      <c r="E7" s="225"/>
      <c r="F7" s="226"/>
      <c r="G7" s="226"/>
      <c r="H7" s="226"/>
      <c r="I7" s="226"/>
      <c r="J7" s="227"/>
    </row>
    <row r="8" customFormat="false" ht="15" hidden="false" customHeight="false" outlineLevel="0" collapsed="false">
      <c r="B8" s="168"/>
      <c r="C8" s="168"/>
      <c r="D8" s="168"/>
      <c r="E8" s="168"/>
      <c r="F8" s="168"/>
      <c r="G8" s="168"/>
      <c r="H8" s="168"/>
      <c r="I8" s="168"/>
      <c r="J8" s="168"/>
    </row>
    <row r="9" customFormat="false" ht="15" hidden="false" customHeight="false" outlineLevel="0" collapsed="false">
      <c r="B9" s="134" t="s">
        <v>541</v>
      </c>
      <c r="C9" s="168"/>
      <c r="D9" s="168"/>
      <c r="E9" s="168"/>
      <c r="F9" s="168"/>
      <c r="G9" s="168"/>
      <c r="H9" s="168"/>
      <c r="I9" s="168"/>
      <c r="J9" s="168"/>
    </row>
    <row r="10" customFormat="false" ht="15" hidden="false" customHeight="true" outlineLevel="0" collapsed="false">
      <c r="B10" s="137" t="s">
        <v>54</v>
      </c>
      <c r="C10" s="137" t="s">
        <v>542</v>
      </c>
      <c r="D10" s="137" t="s">
        <v>101</v>
      </c>
      <c r="E10" s="137"/>
      <c r="F10" s="137" t="s">
        <v>58</v>
      </c>
      <c r="G10" s="137"/>
      <c r="H10" s="137"/>
      <c r="I10" s="137"/>
      <c r="J10" s="168"/>
    </row>
    <row r="11" customFormat="false" ht="33" hidden="false" customHeight="true" outlineLevel="0" collapsed="false">
      <c r="B11" s="52" t="n">
        <v>1</v>
      </c>
      <c r="C11" s="156" t="s">
        <v>543</v>
      </c>
      <c r="D11" s="225" t="s">
        <v>544</v>
      </c>
      <c r="E11" s="225"/>
      <c r="F11" s="226"/>
      <c r="G11" s="226"/>
      <c r="H11" s="226"/>
      <c r="I11" s="226"/>
      <c r="J11" s="168"/>
    </row>
    <row r="12" customFormat="false" ht="13.5" hidden="false" customHeight="true" outlineLevel="0" collapsed="false">
      <c r="B12" s="168"/>
      <c r="C12" s="168"/>
      <c r="D12" s="168"/>
      <c r="E12" s="168"/>
      <c r="F12" s="168"/>
      <c r="G12" s="168"/>
      <c r="H12" s="168"/>
      <c r="I12" s="168"/>
      <c r="J12" s="168"/>
    </row>
    <row r="13" customFormat="false" ht="15" hidden="false" customHeight="false" outlineLevel="0" collapsed="false">
      <c r="B13" s="134" t="s">
        <v>545</v>
      </c>
      <c r="C13" s="168"/>
      <c r="D13" s="168"/>
      <c r="E13" s="168"/>
      <c r="F13" s="168"/>
      <c r="G13" s="168"/>
      <c r="H13" s="168"/>
      <c r="I13" s="168"/>
      <c r="J13" s="168"/>
    </row>
    <row r="14" customFormat="false" ht="15" hidden="false" customHeight="true" outlineLevel="0" collapsed="false">
      <c r="B14" s="137" t="s">
        <v>54</v>
      </c>
      <c r="C14" s="137" t="s">
        <v>542</v>
      </c>
      <c r="D14" s="137" t="s">
        <v>101</v>
      </c>
      <c r="E14" s="137"/>
      <c r="F14" s="137" t="s">
        <v>58</v>
      </c>
      <c r="G14" s="137"/>
      <c r="H14" s="137"/>
      <c r="I14" s="137"/>
      <c r="J14" s="168"/>
    </row>
    <row r="15" customFormat="false" ht="48" hidden="false" customHeight="true" outlineLevel="0" collapsed="false">
      <c r="B15" s="52" t="n">
        <v>1</v>
      </c>
      <c r="C15" s="156" t="s">
        <v>546</v>
      </c>
      <c r="D15" s="225" t="s">
        <v>547</v>
      </c>
      <c r="E15" s="225"/>
      <c r="F15" s="226"/>
      <c r="G15" s="226"/>
      <c r="H15" s="226"/>
      <c r="I15" s="226"/>
      <c r="J15" s="168"/>
    </row>
    <row r="16" customFormat="false" ht="15.75" hidden="false" customHeight="false" outlineLevel="0" collapsed="false">
      <c r="B16" s="168"/>
      <c r="C16" s="168"/>
      <c r="D16" s="168"/>
      <c r="E16" s="168"/>
      <c r="F16" s="168"/>
      <c r="G16" s="168"/>
      <c r="H16" s="168"/>
      <c r="I16" s="168"/>
      <c r="J16" s="168"/>
    </row>
  </sheetData>
  <mergeCells count="17">
    <mergeCell ref="B1:C3"/>
    <mergeCell ref="D1:G3"/>
    <mergeCell ref="H1:I1"/>
    <mergeCell ref="H2:I2"/>
    <mergeCell ref="H3:I3"/>
    <mergeCell ref="D6:E6"/>
    <mergeCell ref="F6:I6"/>
    <mergeCell ref="D7:E7"/>
    <mergeCell ref="F7:I7"/>
    <mergeCell ref="D10:E10"/>
    <mergeCell ref="F10:I10"/>
    <mergeCell ref="D11:E11"/>
    <mergeCell ref="F11:I11"/>
    <mergeCell ref="D14:E14"/>
    <mergeCell ref="F14:I14"/>
    <mergeCell ref="D15:E15"/>
    <mergeCell ref="F15:I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4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pageBreakPreview" topLeftCell="A1" colorId="64" zoomScale="120" zoomScaleNormal="100" zoomScalePageLayoutView="120" workbookViewId="0">
      <selection pane="topLeft" activeCell="G30" activeCellId="1" sqref="H75:H78 G30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32" width="4.29"/>
    <col collapsed="false" customWidth="true" hidden="false" outlineLevel="0" max="3" min="3" style="32" width="38.14"/>
    <col collapsed="false" customWidth="true" hidden="false" outlineLevel="0" max="5" min="5" style="32" width="5.57"/>
    <col collapsed="false" customWidth="true" hidden="false" outlineLevel="0" max="6" min="6" style="32" width="29.42"/>
    <col collapsed="false" customWidth="true" hidden="false" outlineLevel="0" max="7" min="7" style="32" width="71.42"/>
    <col collapsed="false" customWidth="true" hidden="false" outlineLevel="0" max="8" min="8" style="32" width="7.29"/>
  </cols>
  <sheetData>
    <row r="1" s="228" customFormat="true" ht="24.45" hidden="false" customHeight="false" outlineLevel="0" collapsed="false">
      <c r="A1" s="228" t="s">
        <v>548</v>
      </c>
    </row>
    <row r="2" customFormat="false" ht="15" hidden="false" customHeight="false" outlineLevel="0" collapsed="false">
      <c r="A2" s="39" t="s">
        <v>549</v>
      </c>
      <c r="B2" s="39"/>
      <c r="C2" s="39"/>
      <c r="D2" s="39"/>
      <c r="E2" s="39"/>
      <c r="F2" s="39"/>
    </row>
    <row r="3" s="231" customFormat="true" ht="15" hidden="false" customHeight="false" outlineLevel="0" collapsed="false">
      <c r="A3" s="229" t="s">
        <v>54</v>
      </c>
      <c r="B3" s="229" t="s">
        <v>364</v>
      </c>
      <c r="C3" s="229" t="s">
        <v>101</v>
      </c>
      <c r="D3" s="230"/>
      <c r="E3" s="229" t="s">
        <v>54</v>
      </c>
      <c r="F3" s="139" t="s">
        <v>105</v>
      </c>
    </row>
    <row r="4" s="231" customFormat="true" ht="15" hidden="false" customHeight="false" outlineLevel="0" collapsed="false">
      <c r="A4" s="171" t="n">
        <v>1</v>
      </c>
      <c r="B4" s="232" t="s">
        <v>193</v>
      </c>
      <c r="C4" s="232" t="s">
        <v>550</v>
      </c>
      <c r="D4" s="230"/>
      <c r="E4" s="52" t="n">
        <v>1</v>
      </c>
      <c r="F4" s="176" t="s">
        <v>108</v>
      </c>
    </row>
    <row r="5" s="231" customFormat="true" ht="15" hidden="false" customHeight="false" outlineLevel="0" collapsed="false">
      <c r="A5" s="171" t="n">
        <v>2</v>
      </c>
      <c r="B5" s="232" t="s">
        <v>192</v>
      </c>
      <c r="C5" s="232" t="s">
        <v>551</v>
      </c>
      <c r="D5" s="230"/>
      <c r="E5" s="52" t="n">
        <v>2</v>
      </c>
      <c r="F5" s="176" t="s">
        <v>110</v>
      </c>
    </row>
    <row r="6" s="231" customFormat="true" ht="15" hidden="false" customHeight="false" outlineLevel="0" collapsed="false">
      <c r="A6" s="171" t="n">
        <v>3</v>
      </c>
      <c r="B6" s="232" t="s">
        <v>194</v>
      </c>
      <c r="C6" s="232" t="s">
        <v>552</v>
      </c>
      <c r="D6" s="230"/>
      <c r="E6" s="52" t="n">
        <v>3</v>
      </c>
      <c r="F6" s="176" t="s">
        <v>111</v>
      </c>
    </row>
    <row r="7" s="231" customFormat="true" ht="15" hidden="false" customHeight="false" outlineLevel="0" collapsed="false">
      <c r="A7" s="171" t="n">
        <v>4</v>
      </c>
      <c r="B7" s="232" t="s">
        <v>195</v>
      </c>
      <c r="C7" s="232" t="s">
        <v>553</v>
      </c>
      <c r="D7" s="230"/>
      <c r="E7" s="52" t="n">
        <v>4</v>
      </c>
      <c r="F7" s="176" t="s">
        <v>112</v>
      </c>
    </row>
    <row r="8" s="231" customFormat="true" ht="15" hidden="false" customHeight="false" outlineLevel="0" collapsed="false">
      <c r="A8" s="171" t="n">
        <v>5</v>
      </c>
      <c r="B8" s="232" t="s">
        <v>554</v>
      </c>
      <c r="C8" s="232" t="s">
        <v>555</v>
      </c>
      <c r="D8" s="230"/>
      <c r="E8" s="52" t="n">
        <v>5</v>
      </c>
      <c r="F8" s="176" t="s">
        <v>113</v>
      </c>
    </row>
    <row r="9" customFormat="false" ht="15" hidden="false" customHeight="false" outlineLevel="0" collapsed="false">
      <c r="A9" s="39"/>
      <c r="B9" s="39"/>
      <c r="C9" s="39"/>
      <c r="D9" s="39"/>
      <c r="E9" s="52" t="n">
        <v>6</v>
      </c>
      <c r="F9" s="176" t="s">
        <v>114</v>
      </c>
    </row>
    <row r="10" customFormat="false" ht="15" hidden="false" customHeight="false" outlineLevel="0" collapsed="false">
      <c r="A10" s="39"/>
      <c r="B10" s="39"/>
      <c r="C10" s="39"/>
      <c r="D10" s="39"/>
      <c r="E10" s="52" t="n">
        <v>7</v>
      </c>
      <c r="F10" s="176" t="s">
        <v>115</v>
      </c>
    </row>
    <row r="11" customFormat="false" ht="15" hidden="false" customHeight="false" outlineLevel="0" collapsed="false">
      <c r="A11" s="39"/>
      <c r="B11" s="39"/>
      <c r="C11" s="39"/>
      <c r="D11" s="39"/>
      <c r="E11" s="52" t="n">
        <v>8</v>
      </c>
      <c r="F11" s="176" t="s">
        <v>116</v>
      </c>
    </row>
    <row r="12" customFormat="false" ht="15" hidden="false" customHeight="false" outlineLevel="0" collapsed="false">
      <c r="A12" s="39"/>
      <c r="B12" s="39"/>
      <c r="C12" s="39"/>
      <c r="D12" s="39"/>
      <c r="E12" s="52" t="n">
        <v>9</v>
      </c>
      <c r="F12" s="176" t="s">
        <v>117</v>
      </c>
    </row>
    <row r="13" customFormat="false" ht="15" hidden="false" customHeight="false" outlineLevel="0" collapsed="false">
      <c r="A13" s="39"/>
      <c r="B13" s="39"/>
      <c r="C13" s="39"/>
      <c r="D13" s="39"/>
      <c r="E13" s="52" t="n">
        <v>10</v>
      </c>
      <c r="F13" s="176" t="s">
        <v>169</v>
      </c>
    </row>
    <row r="14" customFormat="false" ht="15.75" hidden="false" customHeight="false" outlineLevel="0" collapsed="false">
      <c r="A14" s="39"/>
      <c r="B14" s="39"/>
      <c r="C14" s="39"/>
      <c r="D14" s="39"/>
      <c r="E14" s="39"/>
      <c r="F14" s="39"/>
    </row>
    <row r="15" customFormat="false" ht="15.75" hidden="false" customHeight="false" outlineLevel="0" collapsed="false">
      <c r="A15" s="39"/>
      <c r="B15" s="39"/>
      <c r="C15" s="39"/>
      <c r="D15" s="39"/>
      <c r="E15" s="39"/>
      <c r="F15" s="39"/>
    </row>
    <row r="16" customFormat="false" ht="15.75" hidden="false" customHeight="false" outlineLevel="0" collapsed="false">
      <c r="A16" s="39"/>
      <c r="B16" s="39"/>
      <c r="C16" s="39"/>
      <c r="D16" s="39"/>
      <c r="E16" s="39"/>
      <c r="F16" s="39"/>
    </row>
    <row r="17" customFormat="false" ht="15.75" hidden="false" customHeight="false" outlineLevel="0" collapsed="false">
      <c r="A17" s="39"/>
      <c r="B17" s="39"/>
      <c r="C17" s="39"/>
      <c r="D17" s="39"/>
      <c r="E17" s="39"/>
      <c r="F17" s="39"/>
    </row>
    <row r="18" customFormat="false" ht="15.75" hidden="false" customHeight="false" outlineLevel="0" collapsed="false">
      <c r="A18" s="39"/>
      <c r="B18" s="39"/>
      <c r="C18" s="39"/>
      <c r="D18" s="39"/>
      <c r="E18" s="39"/>
      <c r="F18" s="39"/>
    </row>
    <row r="19" customFormat="false" ht="15.75" hidden="false" customHeight="false" outlineLevel="0" collapsed="false">
      <c r="A19" s="39"/>
      <c r="B19" s="39"/>
      <c r="C19" s="39"/>
      <c r="D19" s="39"/>
      <c r="E19" s="39"/>
      <c r="F19" s="39"/>
    </row>
    <row r="20" customFormat="false" ht="15.75" hidden="false" customHeight="false" outlineLevel="0" collapsed="false">
      <c r="A20" s="39"/>
      <c r="B20" s="39"/>
      <c r="C20" s="39"/>
      <c r="D20" s="39"/>
      <c r="E20" s="39"/>
      <c r="F20" s="39"/>
    </row>
    <row r="21" customFormat="false" ht="15.75" hidden="false" customHeight="false" outlineLevel="0" collapsed="false">
      <c r="A21" s="39"/>
      <c r="B21" s="39"/>
      <c r="C21" s="39"/>
      <c r="D21" s="39"/>
      <c r="E21" s="39"/>
      <c r="F21" s="39"/>
    </row>
    <row r="22" customFormat="false" ht="15.75" hidden="false" customHeight="false" outlineLevel="0" collapsed="false">
      <c r="A22" s="39"/>
      <c r="B22" s="39"/>
      <c r="C22" s="39"/>
      <c r="D22" s="39"/>
      <c r="E22" s="39"/>
      <c r="F22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EA28B5B57AD46AD4661D86A28AA0A" ma:contentTypeVersion="12" ma:contentTypeDescription="Create a new document." ma:contentTypeScope="" ma:versionID="6caf4058dcaa2e129ebf76a0ddae7d94">
  <xsd:schema xmlns:xsd="http://www.w3.org/2001/XMLSchema" xmlns:xs="http://www.w3.org/2001/XMLSchema" xmlns:p="http://schemas.microsoft.com/office/2006/metadata/properties" xmlns:ns2="39340437-270f-4c07-a970-92bb4189d32e" xmlns:ns3="f0612829-7b1d-4fd3-b80f-7d600b67b7c4" targetNamespace="http://schemas.microsoft.com/office/2006/metadata/properties" ma:root="true" ma:fieldsID="8015f310dabdcb82c234d92511a3149e" ns2:_="" ns3:_="">
    <xsd:import namespace="39340437-270f-4c07-a970-92bb4189d32e"/>
    <xsd:import namespace="f0612829-7b1d-4fd3-b80f-7d600b67b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40437-270f-4c07-a970-92bb4189d3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931a68-95a2-4a90-ba23-a52a9e8c7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12829-7b1d-4fd3-b80f-7d600b67b7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0442fa-93fa-47f0-b3a4-30e074ba82dc}" ma:internalName="TaxCatchAll" ma:showField="CatchAllData" ma:web="f0612829-7b1d-4fd3-b80f-7d600b67b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340437-270f-4c07-a970-92bb4189d32e">
      <Terms xmlns="http://schemas.microsoft.com/office/infopath/2007/PartnerControls"/>
    </lcf76f155ced4ddcb4097134ff3c332f>
    <TaxCatchAll xmlns="f0612829-7b1d-4fd3-b80f-7d600b67b7c4" xsi:nil="true"/>
  </documentManagement>
</p:properties>
</file>

<file path=customXml/itemProps1.xml><?xml version="1.0" encoding="utf-8"?>
<ds:datastoreItem xmlns:ds="http://schemas.openxmlformats.org/officeDocument/2006/customXml" ds:itemID="{2DAE6EEE-59FE-4B17-A696-A89E87B19999}"/>
</file>

<file path=customXml/itemProps2.xml><?xml version="1.0" encoding="utf-8"?>
<ds:datastoreItem xmlns:ds="http://schemas.openxmlformats.org/officeDocument/2006/customXml" ds:itemID="{4AD80241-9861-4AC2-BA4E-47A374DD07CC}"/>
</file>

<file path=customXml/itemProps3.xml><?xml version="1.0" encoding="utf-8"?>
<ds:datastoreItem xmlns:ds="http://schemas.openxmlformats.org/officeDocument/2006/customXml" ds:itemID="{796DE858-1DA6-43DE-88F8-AB7886AC516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Collabora_Office/25.04.2.2$Linux_X86_64 LibreOffice_project/b678ed74695d64e638db9eb734e86703ad84516d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2021-04-01T02:22:21Z</dcterms:created>
  <dc:creator>phithi kimlien</dc:creator>
  <dc:description/>
  <dc:language>en-US</dc:language>
  <cp:lastModifiedBy/>
  <dcterms:modified xsi:type="dcterms:W3CDTF">2026-04-21T09:13:44Z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21500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0</vt:bool>
  </property>
</Properties>
</file>